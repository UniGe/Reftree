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aSacchini\Downloads\"/>
    </mc:Choice>
  </mc:AlternateContent>
  <xr:revisionPtr revIDLastSave="0" documentId="13_ncr:1_{3E47D6F7-AB7C-4363-9CE9-B11C0FC63E52}" xr6:coauthVersionLast="47" xr6:coauthVersionMax="47" xr10:uidLastSave="{00000000-0000-0000-0000-000000000000}"/>
  <bookViews>
    <workbookView xWindow="-110" yWindow="-110" windowWidth="29020" windowHeight="17500" xr2:uid="{00000000-000D-0000-FFFF-FFFF00000000}"/>
  </bookViews>
  <sheets>
    <sheet name="Sintes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Z136" i="1" l="1"/>
  <c r="BY136" i="1"/>
  <c r="CL166" i="1"/>
  <c r="BY166" i="1"/>
  <c r="BL166" i="1"/>
  <c r="AY166" i="1"/>
  <c r="AL166" i="1"/>
  <c r="Y166" i="1"/>
  <c r="T166" i="1"/>
  <c r="U166" i="1" s="1"/>
  <c r="CL165" i="1"/>
  <c r="BY165" i="1"/>
  <c r="BL165" i="1"/>
  <c r="AY165" i="1"/>
  <c r="AL165" i="1"/>
  <c r="Y165" i="1"/>
  <c r="T165" i="1"/>
  <c r="U165" i="1" s="1"/>
  <c r="CL164" i="1"/>
  <c r="BY164" i="1"/>
  <c r="BL164" i="1"/>
  <c r="AY164" i="1"/>
  <c r="AL164" i="1"/>
  <c r="Y164" i="1"/>
  <c r="U164" i="1"/>
  <c r="T164" i="1"/>
  <c r="CL163" i="1"/>
  <c r="BY163" i="1"/>
  <c r="BL163" i="1"/>
  <c r="AY163" i="1"/>
  <c r="AL163" i="1"/>
  <c r="Y163" i="1"/>
  <c r="T163" i="1"/>
  <c r="U163" i="1" s="1"/>
  <c r="CL162" i="1"/>
  <c r="BY162" i="1"/>
  <c r="BL162" i="1"/>
  <c r="AY162" i="1"/>
  <c r="AL162" i="1"/>
  <c r="Y162" i="1"/>
  <c r="T162" i="1"/>
  <c r="U162" i="1" s="1"/>
  <c r="CL161" i="1"/>
  <c r="BY161" i="1"/>
  <c r="BL161" i="1"/>
  <c r="AY161" i="1"/>
  <c r="AL161" i="1"/>
  <c r="Y161" i="1"/>
  <c r="CL160" i="1"/>
  <c r="BY160" i="1"/>
  <c r="BL160" i="1"/>
  <c r="AY160" i="1"/>
  <c r="AL160" i="1"/>
  <c r="Y160" i="1"/>
  <c r="CL159" i="1"/>
  <c r="BY159" i="1"/>
  <c r="BL159" i="1"/>
  <c r="AY159" i="1"/>
  <c r="AL159" i="1"/>
  <c r="Y159" i="1"/>
  <c r="CL158" i="1"/>
  <c r="BY158" i="1"/>
  <c r="BL158" i="1"/>
  <c r="AY158" i="1"/>
  <c r="AL158" i="1"/>
  <c r="Y158" i="1"/>
  <c r="U158" i="1"/>
  <c r="T158" i="1"/>
  <c r="CL157" i="1"/>
  <c r="BY157" i="1"/>
  <c r="BL157" i="1"/>
  <c r="AY157" i="1"/>
  <c r="AL157" i="1"/>
  <c r="Y157" i="1"/>
  <c r="CL156" i="1"/>
  <c r="BY156" i="1"/>
  <c r="BL156" i="1"/>
  <c r="AY156" i="1"/>
  <c r="AL156" i="1"/>
  <c r="Y156" i="1"/>
  <c r="T156" i="1"/>
  <c r="U156" i="1" s="1"/>
  <c r="CL155" i="1"/>
  <c r="BY155" i="1"/>
  <c r="BL155" i="1"/>
  <c r="AY155" i="1"/>
  <c r="AL155" i="1"/>
  <c r="Y155" i="1"/>
  <c r="CL154" i="1"/>
  <c r="BY154" i="1"/>
  <c r="BL154" i="1"/>
  <c r="AY154" i="1"/>
  <c r="AL154" i="1"/>
  <c r="Y154" i="1"/>
  <c r="U154" i="1"/>
  <c r="T154" i="1"/>
  <c r="CL153" i="1"/>
  <c r="BY153" i="1"/>
  <c r="BL153" i="1"/>
  <c r="AY153" i="1"/>
  <c r="AL153" i="1"/>
  <c r="Y153" i="1"/>
  <c r="CL152" i="1"/>
  <c r="BY152" i="1"/>
  <c r="BL152" i="1"/>
  <c r="AY152" i="1"/>
  <c r="AL152" i="1"/>
  <c r="Y152" i="1"/>
  <c r="U152" i="1"/>
  <c r="T152" i="1"/>
  <c r="CL151" i="1"/>
  <c r="BY151" i="1"/>
  <c r="BL151" i="1"/>
  <c r="AY151" i="1"/>
  <c r="AL151" i="1"/>
  <c r="Y151" i="1"/>
  <c r="CL150" i="1"/>
  <c r="BY150" i="1"/>
  <c r="BL150" i="1"/>
  <c r="AY150" i="1"/>
  <c r="AL150" i="1"/>
  <c r="Y150" i="1"/>
  <c r="U150" i="1"/>
  <c r="T150" i="1"/>
  <c r="CL149" i="1"/>
  <c r="BY149" i="1"/>
  <c r="BL149" i="1"/>
  <c r="AY149" i="1"/>
  <c r="AL149" i="1"/>
  <c r="Y149" i="1"/>
  <c r="CL148" i="1"/>
  <c r="BY148" i="1"/>
  <c r="BL148" i="1"/>
  <c r="AY148" i="1"/>
  <c r="AL148" i="1"/>
  <c r="Y148" i="1"/>
  <c r="T148" i="1"/>
  <c r="U148" i="1" s="1"/>
  <c r="CL147" i="1"/>
  <c r="BY147" i="1"/>
  <c r="BL147" i="1"/>
  <c r="AY147" i="1"/>
  <c r="AL147" i="1"/>
  <c r="Y147" i="1"/>
  <c r="CL146" i="1"/>
  <c r="BY146" i="1"/>
  <c r="BL146" i="1"/>
  <c r="AY146" i="1"/>
  <c r="AL146" i="1"/>
  <c r="Y146" i="1"/>
  <c r="U146" i="1"/>
  <c r="T146" i="1"/>
  <c r="CL145" i="1"/>
  <c r="BY145" i="1"/>
  <c r="BL145" i="1"/>
  <c r="AY145" i="1"/>
  <c r="AL145" i="1"/>
  <c r="Y145" i="1"/>
  <c r="CL144" i="1"/>
  <c r="BY144" i="1"/>
  <c r="BL144" i="1"/>
  <c r="AY144" i="1"/>
  <c r="AL144" i="1"/>
  <c r="Y144" i="1"/>
  <c r="T144" i="1"/>
  <c r="U144" i="1" s="1"/>
  <c r="CL143" i="1"/>
  <c r="BY143" i="1"/>
  <c r="BL143" i="1"/>
  <c r="AY143" i="1"/>
  <c r="AL143" i="1"/>
  <c r="Y143" i="1"/>
  <c r="CL142" i="1"/>
  <c r="BY142" i="1"/>
  <c r="BL142" i="1"/>
  <c r="AY142" i="1"/>
  <c r="AL142" i="1"/>
  <c r="Y142" i="1"/>
  <c r="CL141" i="1"/>
  <c r="BY141" i="1"/>
  <c r="BL141" i="1"/>
  <c r="AY141" i="1"/>
  <c r="AL141" i="1"/>
  <c r="Y141" i="1"/>
  <c r="CL140" i="1"/>
  <c r="BY140" i="1"/>
  <c r="BL140" i="1"/>
  <c r="AY140" i="1"/>
  <c r="AL140" i="1"/>
  <c r="Y140" i="1"/>
  <c r="U140" i="1"/>
  <c r="T140" i="1"/>
  <c r="CL139" i="1"/>
  <c r="BY139" i="1"/>
  <c r="BL139" i="1"/>
  <c r="AY139" i="1"/>
  <c r="AL139" i="1"/>
  <c r="Y139" i="1"/>
  <c r="CL138" i="1"/>
  <c r="BY138" i="1"/>
  <c r="BL138" i="1"/>
  <c r="AY138" i="1"/>
  <c r="AL138" i="1"/>
  <c r="Y138" i="1"/>
  <c r="CL137" i="1"/>
  <c r="BY137" i="1"/>
  <c r="BL137" i="1"/>
  <c r="AY137" i="1"/>
  <c r="AL137" i="1"/>
  <c r="Y137" i="1"/>
  <c r="CL136" i="1"/>
  <c r="BL136" i="1"/>
  <c r="AY136" i="1"/>
  <c r="AL136" i="1"/>
  <c r="Y136" i="1"/>
  <c r="T136" i="1"/>
  <c r="U136" i="1" s="1"/>
  <c r="CL135" i="1"/>
  <c r="BY135" i="1"/>
  <c r="BL135" i="1"/>
  <c r="AY135" i="1"/>
  <c r="AL135" i="1"/>
  <c r="Y135" i="1"/>
  <c r="CL134" i="1"/>
  <c r="BY134" i="1"/>
  <c r="BL134" i="1"/>
  <c r="AY134" i="1"/>
  <c r="AL134" i="1"/>
  <c r="Y134" i="1"/>
  <c r="CL133" i="1"/>
  <c r="BY133" i="1"/>
  <c r="BL133" i="1"/>
  <c r="AY133" i="1"/>
  <c r="AL133" i="1"/>
  <c r="Y133" i="1"/>
  <c r="CL132" i="1"/>
  <c r="BY132" i="1"/>
  <c r="BL132" i="1"/>
  <c r="AY132" i="1"/>
  <c r="AL132" i="1"/>
  <c r="Y132" i="1"/>
  <c r="U132" i="1"/>
  <c r="T132" i="1"/>
  <c r="CL131" i="1"/>
  <c r="BY131" i="1"/>
  <c r="BL131" i="1"/>
  <c r="AY131" i="1"/>
  <c r="AL131" i="1"/>
  <c r="Y131" i="1"/>
  <c r="CL130" i="1"/>
  <c r="BY130" i="1"/>
  <c r="BL130" i="1"/>
  <c r="AY130" i="1"/>
  <c r="AL130" i="1"/>
  <c r="Y130" i="1"/>
  <c r="T130" i="1"/>
  <c r="U130" i="1" s="1"/>
  <c r="CL129" i="1"/>
  <c r="BY129" i="1"/>
  <c r="BL129" i="1"/>
  <c r="AY129" i="1"/>
  <c r="AL129" i="1"/>
  <c r="Y129" i="1"/>
  <c r="CL128" i="1"/>
  <c r="BY128" i="1"/>
  <c r="BL128" i="1"/>
  <c r="AY128" i="1"/>
  <c r="AL128" i="1"/>
  <c r="Y128" i="1"/>
  <c r="CL127" i="1"/>
  <c r="BY127" i="1"/>
  <c r="BL127" i="1"/>
  <c r="AY127" i="1"/>
  <c r="AL127" i="1"/>
  <c r="Y127" i="1"/>
  <c r="CL126" i="1"/>
  <c r="BY126" i="1"/>
  <c r="BL126" i="1"/>
  <c r="AY126" i="1"/>
  <c r="AL126" i="1"/>
  <c r="Y126" i="1"/>
  <c r="U126" i="1"/>
  <c r="T126" i="1"/>
  <c r="CL125" i="1"/>
  <c r="BY125" i="1"/>
  <c r="BL125" i="1"/>
  <c r="AY125" i="1"/>
  <c r="AL125" i="1"/>
  <c r="Y125" i="1"/>
  <c r="CL124" i="1"/>
  <c r="BY124" i="1"/>
  <c r="BL124" i="1"/>
  <c r="AY124" i="1"/>
  <c r="AL124" i="1"/>
  <c r="Y124" i="1"/>
  <c r="T124" i="1"/>
  <c r="U124" i="1" s="1"/>
  <c r="CL123" i="1"/>
  <c r="BY123" i="1"/>
  <c r="BL123" i="1"/>
  <c r="AY123" i="1"/>
  <c r="AL123" i="1"/>
  <c r="Y123" i="1"/>
  <c r="CL122" i="1"/>
  <c r="BY122" i="1"/>
  <c r="BL122" i="1"/>
  <c r="AY122" i="1"/>
  <c r="AL122" i="1"/>
  <c r="Y122" i="1"/>
  <c r="U122" i="1"/>
  <c r="T122" i="1"/>
  <c r="CL121" i="1"/>
  <c r="BY121" i="1"/>
  <c r="BL121" i="1"/>
  <c r="AY121" i="1"/>
  <c r="AL121" i="1"/>
  <c r="Y121" i="1"/>
  <c r="CL120" i="1"/>
  <c r="BY120" i="1"/>
  <c r="BL120" i="1"/>
  <c r="AY120" i="1"/>
  <c r="AL120" i="1"/>
  <c r="Y120" i="1"/>
  <c r="U120" i="1"/>
  <c r="T120" i="1"/>
  <c r="CL119" i="1"/>
  <c r="BY119" i="1"/>
  <c r="BL119" i="1"/>
  <c r="AY119" i="1"/>
  <c r="AL119" i="1"/>
  <c r="Y119" i="1"/>
  <c r="CL118" i="1"/>
  <c r="BY118" i="1"/>
  <c r="BL118" i="1"/>
  <c r="AY118" i="1"/>
  <c r="AL118" i="1"/>
  <c r="Y118" i="1"/>
  <c r="CL117" i="1"/>
  <c r="BY117" i="1"/>
  <c r="BL117" i="1"/>
  <c r="AY117" i="1"/>
  <c r="AL117" i="1"/>
  <c r="Y117" i="1"/>
  <c r="T117" i="1"/>
  <c r="U117" i="1" s="1"/>
  <c r="CL116" i="1"/>
  <c r="BY116" i="1"/>
  <c r="BL116" i="1"/>
  <c r="AY116" i="1"/>
  <c r="AL116" i="1"/>
  <c r="Y116" i="1"/>
  <c r="CL115" i="1"/>
  <c r="BY115" i="1"/>
  <c r="BL115" i="1"/>
  <c r="AY115" i="1"/>
  <c r="AL115" i="1"/>
  <c r="Y115" i="1"/>
  <c r="CL114" i="1"/>
  <c r="BY114" i="1"/>
  <c r="BL114" i="1"/>
  <c r="AY114" i="1"/>
  <c r="AL114" i="1"/>
  <c r="Y114" i="1"/>
  <c r="T114" i="1"/>
  <c r="U114" i="1" s="1"/>
  <c r="CL113" i="1"/>
  <c r="BY113" i="1"/>
  <c r="BL113" i="1"/>
  <c r="AY113" i="1"/>
  <c r="AL113" i="1"/>
  <c r="Y113" i="1"/>
  <c r="CL112" i="1"/>
  <c r="BY112" i="1"/>
  <c r="BL112" i="1"/>
  <c r="AY112" i="1"/>
  <c r="AL112" i="1"/>
  <c r="Y112" i="1"/>
  <c r="U112" i="1"/>
  <c r="T112" i="1"/>
  <c r="CL111" i="1"/>
  <c r="BY111" i="1"/>
  <c r="BL111" i="1"/>
  <c r="AY111" i="1"/>
  <c r="AL111" i="1"/>
  <c r="Y111" i="1"/>
  <c r="CL110" i="1"/>
  <c r="BY110" i="1"/>
  <c r="BL110" i="1"/>
  <c r="AY110" i="1"/>
  <c r="AL110" i="1"/>
  <c r="Y110" i="1"/>
  <c r="T110" i="1"/>
  <c r="U110" i="1" s="1"/>
  <c r="CL109" i="1"/>
  <c r="BY109" i="1"/>
  <c r="BL109" i="1"/>
  <c r="AY109" i="1"/>
  <c r="AL109" i="1"/>
  <c r="Y109" i="1"/>
  <c r="CL108" i="1"/>
  <c r="BY108" i="1"/>
  <c r="BL108" i="1"/>
  <c r="AY108" i="1"/>
  <c r="AL108" i="1"/>
  <c r="Y108" i="1"/>
  <c r="U108" i="1"/>
  <c r="T108" i="1"/>
  <c r="CL107" i="1"/>
  <c r="BY107" i="1"/>
  <c r="BL107" i="1"/>
  <c r="AY107" i="1"/>
  <c r="AL107" i="1"/>
  <c r="Y107" i="1"/>
  <c r="CL106" i="1"/>
  <c r="BY106" i="1"/>
  <c r="BL106" i="1"/>
  <c r="AY106" i="1"/>
  <c r="AL106" i="1"/>
  <c r="Y106" i="1"/>
  <c r="U106" i="1"/>
  <c r="T106" i="1"/>
  <c r="CL105" i="1"/>
  <c r="BY105" i="1"/>
  <c r="BL105" i="1"/>
  <c r="AY105" i="1"/>
  <c r="AL105" i="1"/>
  <c r="Y105" i="1"/>
  <c r="CL104" i="1"/>
  <c r="BY104" i="1"/>
  <c r="BL104" i="1"/>
  <c r="AY104" i="1"/>
  <c r="AL104" i="1"/>
  <c r="Y104" i="1"/>
  <c r="CL103" i="1"/>
  <c r="BY103" i="1"/>
  <c r="BL103" i="1"/>
  <c r="AY103" i="1"/>
  <c r="AL103" i="1"/>
  <c r="Y103" i="1"/>
  <c r="T103" i="1"/>
  <c r="U103" i="1" s="1"/>
  <c r="CL102" i="1"/>
  <c r="BY102" i="1"/>
  <c r="BL102" i="1"/>
  <c r="AY102" i="1"/>
  <c r="AL102" i="1"/>
  <c r="Y102" i="1"/>
  <c r="CL101" i="1"/>
  <c r="BY101" i="1"/>
  <c r="BL101" i="1"/>
  <c r="AY101" i="1"/>
  <c r="AL101" i="1"/>
  <c r="Y101" i="1"/>
  <c r="U101" i="1"/>
  <c r="T101" i="1"/>
  <c r="CL100" i="1"/>
  <c r="BY100" i="1"/>
  <c r="BL100" i="1"/>
  <c r="AY100" i="1"/>
  <c r="AL100" i="1"/>
  <c r="Y100" i="1"/>
  <c r="CL99" i="1"/>
  <c r="BY99" i="1"/>
  <c r="BL99" i="1"/>
  <c r="AY99" i="1"/>
  <c r="AL99" i="1"/>
  <c r="Y99" i="1"/>
  <c r="CL98" i="1"/>
  <c r="BY98" i="1"/>
  <c r="BL98" i="1"/>
  <c r="AY98" i="1"/>
  <c r="AL98" i="1"/>
  <c r="Y98" i="1"/>
  <c r="CL97" i="1"/>
  <c r="BY97" i="1"/>
  <c r="BL97" i="1"/>
  <c r="AY97" i="1"/>
  <c r="AL97" i="1"/>
  <c r="Y97" i="1"/>
  <c r="U97" i="1"/>
  <c r="T97" i="1"/>
  <c r="CL96" i="1"/>
  <c r="BY96" i="1"/>
  <c r="BL96" i="1"/>
  <c r="AY96" i="1"/>
  <c r="AL96" i="1"/>
  <c r="Y96" i="1"/>
  <c r="CL95" i="1"/>
  <c r="BY95" i="1"/>
  <c r="BL95" i="1"/>
  <c r="AY95" i="1"/>
  <c r="AL95" i="1"/>
  <c r="Y95" i="1"/>
  <c r="U95" i="1"/>
  <c r="T95" i="1"/>
  <c r="CL94" i="1"/>
  <c r="BY94" i="1"/>
  <c r="BL94" i="1"/>
  <c r="AY94" i="1"/>
  <c r="AL94" i="1"/>
  <c r="Y94" i="1"/>
  <c r="CL93" i="1"/>
  <c r="BY93" i="1"/>
  <c r="BL93" i="1"/>
  <c r="AY93" i="1"/>
  <c r="AL93" i="1"/>
  <c r="Y93" i="1"/>
  <c r="T93" i="1"/>
  <c r="U93" i="1" s="1"/>
  <c r="CL92" i="1"/>
  <c r="BY92" i="1"/>
  <c r="BL92" i="1"/>
  <c r="AY92" i="1"/>
  <c r="AL92" i="1"/>
  <c r="Y92" i="1"/>
  <c r="CL91" i="1"/>
  <c r="BY91" i="1"/>
  <c r="BL91" i="1"/>
  <c r="AY91" i="1"/>
  <c r="AL91" i="1"/>
  <c r="Y91" i="1"/>
  <c r="CL90" i="1"/>
  <c r="BY90" i="1"/>
  <c r="BL90" i="1"/>
  <c r="AY90" i="1"/>
  <c r="AL90" i="1"/>
  <c r="Y90" i="1"/>
  <c r="CL89" i="1"/>
  <c r="BY89" i="1"/>
  <c r="BL89" i="1"/>
  <c r="AY89" i="1"/>
  <c r="AL89" i="1"/>
  <c r="Y89" i="1"/>
  <c r="CL88" i="1"/>
  <c r="BY88" i="1"/>
  <c r="BL88" i="1"/>
  <c r="AY88" i="1"/>
  <c r="AL88" i="1"/>
  <c r="Y88" i="1"/>
  <c r="U88" i="1"/>
  <c r="T88" i="1"/>
  <c r="CL87" i="1"/>
  <c r="BY87" i="1"/>
  <c r="BL87" i="1"/>
  <c r="AY87" i="1"/>
  <c r="AL87" i="1"/>
  <c r="Y87" i="1"/>
  <c r="CL86" i="1"/>
  <c r="BY86" i="1"/>
  <c r="BL86" i="1"/>
  <c r="AY86" i="1"/>
  <c r="AL86" i="1"/>
  <c r="Y86" i="1"/>
  <c r="CL85" i="1"/>
  <c r="BY85" i="1"/>
  <c r="BL85" i="1"/>
  <c r="AY85" i="1"/>
  <c r="AL85" i="1"/>
  <c r="Y85" i="1"/>
  <c r="CL84" i="1"/>
  <c r="BY84" i="1"/>
  <c r="BL84" i="1"/>
  <c r="AY84" i="1"/>
  <c r="AL84" i="1"/>
  <c r="Y84" i="1"/>
  <c r="T84" i="1"/>
  <c r="U84" i="1" s="1"/>
  <c r="CL83" i="1"/>
  <c r="BY83" i="1"/>
  <c r="BL83" i="1"/>
  <c r="AY83" i="1"/>
  <c r="AL83" i="1"/>
  <c r="Y83" i="1"/>
  <c r="CL82" i="1"/>
  <c r="BY82" i="1"/>
  <c r="BL82" i="1"/>
  <c r="AY82" i="1"/>
  <c r="AL82" i="1"/>
  <c r="Y82" i="1"/>
  <c r="T82" i="1"/>
  <c r="U82" i="1" s="1"/>
  <c r="CL81" i="1"/>
  <c r="BY81" i="1"/>
  <c r="BL81" i="1"/>
  <c r="AY81" i="1"/>
  <c r="AL81" i="1"/>
  <c r="Y81" i="1"/>
  <c r="CL80" i="1"/>
  <c r="BY80" i="1"/>
  <c r="BL80" i="1"/>
  <c r="AY80" i="1"/>
  <c r="AL80" i="1"/>
  <c r="Y80" i="1"/>
  <c r="CL79" i="1"/>
  <c r="BY79" i="1"/>
  <c r="BL79" i="1"/>
  <c r="AY79" i="1"/>
  <c r="AL79" i="1"/>
  <c r="Y79" i="1"/>
  <c r="CL78" i="1"/>
  <c r="BY78" i="1"/>
  <c r="BL78" i="1"/>
  <c r="AY78" i="1"/>
  <c r="AL78" i="1"/>
  <c r="Y78" i="1"/>
  <c r="U78" i="1"/>
  <c r="T78" i="1"/>
  <c r="CL77" i="1"/>
  <c r="BY77" i="1"/>
  <c r="BL77" i="1"/>
  <c r="AY77" i="1"/>
  <c r="AL77" i="1"/>
  <c r="Y77" i="1"/>
  <c r="CL76" i="1"/>
  <c r="BY76" i="1"/>
  <c r="BL76" i="1"/>
  <c r="AY76" i="1"/>
  <c r="AL76" i="1"/>
  <c r="Y76" i="1"/>
  <c r="CL75" i="1"/>
  <c r="BY75" i="1"/>
  <c r="BL75" i="1"/>
  <c r="AY75" i="1"/>
  <c r="AL75" i="1"/>
  <c r="Y75" i="1"/>
  <c r="CL74" i="1"/>
  <c r="BY74" i="1"/>
  <c r="BL74" i="1"/>
  <c r="AY74" i="1"/>
  <c r="AL74" i="1"/>
  <c r="Y74" i="1"/>
  <c r="T74" i="1"/>
  <c r="U74" i="1" s="1"/>
  <c r="CL73" i="1"/>
  <c r="BY73" i="1"/>
  <c r="BL73" i="1"/>
  <c r="AY73" i="1"/>
  <c r="AL73" i="1"/>
  <c r="Y73" i="1"/>
  <c r="CL72" i="1"/>
  <c r="BY72" i="1"/>
  <c r="BL72" i="1"/>
  <c r="AY72" i="1"/>
  <c r="AL72" i="1"/>
  <c r="Y72" i="1"/>
  <c r="U72" i="1"/>
  <c r="T72" i="1"/>
  <c r="CL71" i="1"/>
  <c r="BY71" i="1"/>
  <c r="BL71" i="1"/>
  <c r="AY71" i="1"/>
  <c r="AL71" i="1"/>
  <c r="Y71" i="1"/>
  <c r="CL70" i="1"/>
  <c r="BY70" i="1"/>
  <c r="BL70" i="1"/>
  <c r="AY70" i="1"/>
  <c r="AL70" i="1"/>
  <c r="Y70" i="1"/>
  <c r="CL69" i="1"/>
  <c r="BY69" i="1"/>
  <c r="BL69" i="1"/>
  <c r="AY69" i="1"/>
  <c r="AL69" i="1"/>
  <c r="Y69" i="1"/>
  <c r="CL68" i="1"/>
  <c r="BY68" i="1"/>
  <c r="BL68" i="1"/>
  <c r="AY68" i="1"/>
  <c r="AL68" i="1"/>
  <c r="Y68" i="1"/>
  <c r="U68" i="1"/>
  <c r="T68" i="1"/>
  <c r="CL67" i="1"/>
  <c r="BY67" i="1"/>
  <c r="BL67" i="1"/>
  <c r="AY67" i="1"/>
  <c r="AL67" i="1"/>
  <c r="Y67" i="1"/>
  <c r="CL66" i="1"/>
  <c r="BY66" i="1"/>
  <c r="BL66" i="1"/>
  <c r="AY66" i="1"/>
  <c r="AL66" i="1"/>
  <c r="Y66" i="1"/>
  <c r="T66" i="1"/>
  <c r="U66" i="1" s="1"/>
  <c r="CL65" i="1"/>
  <c r="BY65" i="1"/>
  <c r="BL65" i="1"/>
  <c r="AY65" i="1"/>
  <c r="AL65" i="1"/>
  <c r="Y65" i="1"/>
  <c r="CL64" i="1"/>
  <c r="BY64" i="1"/>
  <c r="BL64" i="1"/>
  <c r="AY64" i="1"/>
  <c r="AL64" i="1"/>
  <c r="Y64" i="1"/>
  <c r="CL63" i="1"/>
  <c r="BY63" i="1"/>
  <c r="BL63" i="1"/>
  <c r="AY63" i="1"/>
  <c r="AL63" i="1"/>
  <c r="Y63" i="1"/>
  <c r="CL62" i="1"/>
  <c r="BY62" i="1"/>
  <c r="BL62" i="1"/>
  <c r="AY62" i="1"/>
  <c r="AL62" i="1"/>
  <c r="Y62" i="1"/>
  <c r="T62" i="1"/>
  <c r="U62" i="1" s="1"/>
  <c r="CL61" i="1"/>
  <c r="BY61" i="1"/>
  <c r="BL61" i="1"/>
  <c r="AY61" i="1"/>
  <c r="AL61" i="1"/>
  <c r="Y61" i="1"/>
  <c r="CL60" i="1"/>
  <c r="BY60" i="1"/>
  <c r="BL60" i="1"/>
  <c r="AY60" i="1"/>
  <c r="AL60" i="1"/>
  <c r="Y60" i="1"/>
  <c r="U60" i="1"/>
  <c r="T60" i="1"/>
  <c r="CL59" i="1"/>
  <c r="BY59" i="1"/>
  <c r="BL59" i="1"/>
  <c r="AY59" i="1"/>
  <c r="AL59" i="1"/>
  <c r="Y59" i="1"/>
  <c r="CL58" i="1"/>
  <c r="BY58" i="1"/>
  <c r="BL58" i="1"/>
  <c r="AY58" i="1"/>
  <c r="AL58" i="1"/>
  <c r="Y58" i="1"/>
  <c r="T58" i="1"/>
  <c r="U58" i="1" s="1"/>
  <c r="CL57" i="1"/>
  <c r="BY57" i="1"/>
  <c r="BL57" i="1"/>
  <c r="AY57" i="1"/>
  <c r="AL57" i="1"/>
  <c r="Y57" i="1"/>
  <c r="CL56" i="1"/>
  <c r="BY56" i="1"/>
  <c r="BL56" i="1"/>
  <c r="AY56" i="1"/>
  <c r="AL56" i="1"/>
  <c r="Y56" i="1"/>
  <c r="U56" i="1"/>
  <c r="T56" i="1"/>
  <c r="CL55" i="1"/>
  <c r="BY55" i="1"/>
  <c r="BL55" i="1"/>
  <c r="AY55" i="1"/>
  <c r="AL55" i="1"/>
  <c r="Y55" i="1"/>
  <c r="CL54" i="1"/>
  <c r="BY54" i="1"/>
  <c r="BL54" i="1"/>
  <c r="AY54" i="1"/>
  <c r="AL54" i="1"/>
  <c r="Y54" i="1"/>
  <c r="CL53" i="1"/>
  <c r="BY53" i="1"/>
  <c r="BL53" i="1"/>
  <c r="AY53" i="1"/>
  <c r="AL53" i="1"/>
  <c r="Y53" i="1"/>
  <c r="U53" i="1"/>
  <c r="T53" i="1"/>
  <c r="CL52" i="1"/>
  <c r="BY52" i="1"/>
  <c r="BL52" i="1"/>
  <c r="AY52" i="1"/>
  <c r="AL52" i="1"/>
  <c r="Y52" i="1"/>
  <c r="CL51" i="1"/>
  <c r="BY51" i="1"/>
  <c r="BL51" i="1"/>
  <c r="AY51" i="1"/>
  <c r="AL51" i="1"/>
  <c r="Y51" i="1"/>
  <c r="T51" i="1"/>
  <c r="U51" i="1" s="1"/>
  <c r="CL50" i="1"/>
  <c r="BY50" i="1"/>
  <c r="BL50" i="1"/>
  <c r="AY50" i="1"/>
  <c r="AL50" i="1"/>
  <c r="Y50" i="1"/>
  <c r="CL49" i="1"/>
  <c r="BY49" i="1"/>
  <c r="BL49" i="1"/>
  <c r="AY49" i="1"/>
  <c r="AL49" i="1"/>
  <c r="Y49" i="1"/>
  <c r="U49" i="1"/>
  <c r="T49" i="1"/>
  <c r="CL48" i="1"/>
  <c r="BY48" i="1"/>
  <c r="BL48" i="1"/>
  <c r="AY48" i="1"/>
  <c r="AL48" i="1"/>
  <c r="Y48" i="1"/>
  <c r="CL47" i="1"/>
  <c r="BY47" i="1"/>
  <c r="BL47" i="1"/>
  <c r="AY47" i="1"/>
  <c r="AL47" i="1"/>
  <c r="Y47" i="1"/>
  <c r="U47" i="1"/>
  <c r="T47" i="1"/>
  <c r="CL46" i="1"/>
  <c r="BY46" i="1"/>
  <c r="BL46" i="1"/>
  <c r="AY46" i="1"/>
  <c r="AL46" i="1"/>
  <c r="Y46" i="1"/>
  <c r="CL45" i="1"/>
  <c r="BY45" i="1"/>
  <c r="BL45" i="1"/>
  <c r="AY45" i="1"/>
  <c r="AL45" i="1"/>
  <c r="Y45" i="1"/>
  <c r="T45" i="1"/>
  <c r="U45" i="1" s="1"/>
  <c r="CL44" i="1"/>
  <c r="BY44" i="1"/>
  <c r="BL44" i="1"/>
  <c r="AY44" i="1"/>
  <c r="AL44" i="1"/>
  <c r="Y44" i="1"/>
  <c r="CL43" i="1"/>
  <c r="BY43" i="1"/>
  <c r="BL43" i="1"/>
  <c r="AY43" i="1"/>
  <c r="AL43" i="1"/>
  <c r="Y43" i="1"/>
  <c r="T43" i="1"/>
  <c r="U43" i="1" s="1"/>
  <c r="CL42" i="1"/>
  <c r="BY42" i="1"/>
  <c r="BL42" i="1"/>
  <c r="AY42" i="1"/>
  <c r="AL42" i="1"/>
  <c r="Y42" i="1"/>
  <c r="CL41" i="1"/>
  <c r="BY41" i="1"/>
  <c r="BL41" i="1"/>
  <c r="AY41" i="1"/>
  <c r="AL41" i="1"/>
  <c r="Y41" i="1"/>
  <c r="U41" i="1"/>
  <c r="T41" i="1"/>
  <c r="CL40" i="1"/>
  <c r="BY40" i="1"/>
  <c r="BL40" i="1"/>
  <c r="AY40" i="1"/>
  <c r="AL40" i="1"/>
  <c r="Y40" i="1"/>
  <c r="CL39" i="1"/>
  <c r="BY39" i="1"/>
  <c r="BL39" i="1"/>
  <c r="AY39" i="1"/>
  <c r="AL39" i="1"/>
  <c r="Y39" i="1"/>
  <c r="T39" i="1"/>
  <c r="U39" i="1" s="1"/>
  <c r="CL38" i="1"/>
  <c r="BY38" i="1"/>
  <c r="BL38" i="1"/>
  <c r="AY38" i="1"/>
  <c r="AL38" i="1"/>
  <c r="Y38" i="1"/>
  <c r="CL37" i="1"/>
  <c r="BY37" i="1"/>
  <c r="BL37" i="1"/>
  <c r="AY37" i="1"/>
  <c r="AL37" i="1"/>
  <c r="Y37" i="1"/>
  <c r="U37" i="1"/>
  <c r="T37" i="1"/>
  <c r="CL36" i="1"/>
  <c r="BY36" i="1"/>
  <c r="BL36" i="1"/>
  <c r="AY36" i="1"/>
  <c r="AL36" i="1"/>
  <c r="Y36" i="1"/>
  <c r="CL35" i="1"/>
  <c r="BY35" i="1"/>
  <c r="BL35" i="1"/>
  <c r="AY35" i="1"/>
  <c r="AL35" i="1"/>
  <c r="Y35" i="1"/>
  <c r="U35" i="1"/>
  <c r="T35" i="1"/>
  <c r="CL34" i="1"/>
  <c r="BY34" i="1"/>
  <c r="BL34" i="1"/>
  <c r="AY34" i="1"/>
  <c r="AL34" i="1"/>
  <c r="Y34" i="1"/>
  <c r="CL33" i="1"/>
  <c r="BY33" i="1"/>
  <c r="BL33" i="1"/>
  <c r="AY33" i="1"/>
  <c r="AL33" i="1"/>
  <c r="Y33" i="1"/>
  <c r="CL32" i="1"/>
  <c r="BY32" i="1"/>
  <c r="BL32" i="1"/>
  <c r="AY32" i="1"/>
  <c r="AL32" i="1"/>
  <c r="Y32" i="1"/>
  <c r="CL31" i="1"/>
  <c r="BY31" i="1"/>
  <c r="BL31" i="1"/>
  <c r="AY31" i="1"/>
  <c r="AL31" i="1"/>
  <c r="Y31" i="1"/>
  <c r="T31" i="1"/>
  <c r="U31" i="1" s="1"/>
  <c r="CL30" i="1"/>
  <c r="BY30" i="1"/>
  <c r="BL30" i="1"/>
  <c r="AY30" i="1"/>
  <c r="AL30" i="1"/>
  <c r="Y30" i="1"/>
  <c r="CL29" i="1"/>
  <c r="BY29" i="1"/>
  <c r="BL29" i="1"/>
  <c r="AY29" i="1"/>
  <c r="AL29" i="1"/>
  <c r="Y29" i="1"/>
  <c r="T29" i="1"/>
  <c r="U29" i="1" s="1"/>
  <c r="CL28" i="1"/>
  <c r="BY28" i="1"/>
  <c r="BL28" i="1"/>
  <c r="AY28" i="1"/>
  <c r="AL28" i="1"/>
  <c r="Y28" i="1"/>
  <c r="CL27" i="1"/>
  <c r="BY27" i="1"/>
  <c r="BL27" i="1"/>
  <c r="AY27" i="1"/>
  <c r="AL27" i="1"/>
  <c r="Y27" i="1"/>
  <c r="U27" i="1"/>
  <c r="T27" i="1"/>
  <c r="CL26" i="1"/>
  <c r="BY26" i="1"/>
  <c r="BL26" i="1"/>
  <c r="AY26" i="1"/>
  <c r="AL26" i="1"/>
  <c r="Y26" i="1"/>
  <c r="CL25" i="1"/>
  <c r="BY25" i="1"/>
  <c r="BL25" i="1"/>
  <c r="AY25" i="1"/>
  <c r="AL25" i="1"/>
  <c r="Y25" i="1"/>
  <c r="T25" i="1"/>
  <c r="U25" i="1" s="1"/>
  <c r="CL24" i="1"/>
  <c r="BY24" i="1"/>
  <c r="BL24" i="1"/>
  <c r="AY24" i="1"/>
  <c r="AL24" i="1"/>
  <c r="Y24" i="1"/>
  <c r="CL23" i="1"/>
  <c r="BY23" i="1"/>
  <c r="BL23" i="1"/>
  <c r="AY23" i="1"/>
  <c r="AL23" i="1"/>
  <c r="Y23" i="1"/>
  <c r="CL22" i="1"/>
  <c r="BY22" i="1"/>
  <c r="BL22" i="1"/>
  <c r="AY22" i="1"/>
  <c r="AL22" i="1"/>
  <c r="Y22" i="1"/>
  <c r="CL21" i="1"/>
  <c r="BY21" i="1"/>
  <c r="BL21" i="1"/>
  <c r="AY21" i="1"/>
  <c r="AL21" i="1"/>
  <c r="Y21" i="1"/>
  <c r="CL20" i="1"/>
  <c r="BY20" i="1"/>
  <c r="BL20" i="1"/>
  <c r="AY20" i="1"/>
  <c r="AL20" i="1"/>
  <c r="Y20" i="1"/>
  <c r="CL19" i="1"/>
  <c r="BY19" i="1"/>
  <c r="BL19" i="1"/>
  <c r="AY19" i="1"/>
  <c r="AL19" i="1"/>
  <c r="Y19" i="1"/>
  <c r="U19" i="1"/>
  <c r="T19" i="1"/>
  <c r="CL18" i="1"/>
  <c r="BY18" i="1"/>
  <c r="BL18" i="1"/>
  <c r="AY18" i="1"/>
  <c r="AL18" i="1"/>
  <c r="Y18" i="1"/>
  <c r="CL17" i="1"/>
  <c r="BY17" i="1"/>
  <c r="BL17" i="1"/>
  <c r="AY17" i="1"/>
  <c r="AL17" i="1"/>
  <c r="Y17" i="1"/>
  <c r="CL16" i="1"/>
  <c r="BY16" i="1"/>
  <c r="BL16" i="1"/>
  <c r="AY16" i="1"/>
  <c r="AL16" i="1"/>
  <c r="Y16" i="1"/>
  <c r="CL15" i="1"/>
  <c r="BY15" i="1"/>
  <c r="BL15" i="1"/>
  <c r="AY15" i="1"/>
  <c r="AL15" i="1"/>
  <c r="Y15" i="1"/>
  <c r="U15" i="1"/>
  <c r="T15" i="1"/>
  <c r="CL14" i="1"/>
  <c r="BY14" i="1"/>
  <c r="BL14" i="1"/>
  <c r="AY14" i="1"/>
  <c r="AL14" i="1"/>
  <c r="Y14" i="1"/>
  <c r="CL13" i="1"/>
  <c r="BY13" i="1"/>
  <c r="BL13" i="1"/>
  <c r="AY13" i="1"/>
  <c r="AL13" i="1"/>
  <c r="Y13" i="1"/>
  <c r="CL12" i="1"/>
  <c r="BY12" i="1"/>
  <c r="BL12" i="1"/>
  <c r="AY12" i="1"/>
  <c r="AL12" i="1"/>
  <c r="Y12" i="1"/>
  <c r="CL11" i="1"/>
  <c r="BY11" i="1"/>
  <c r="BL11" i="1"/>
  <c r="AY11" i="1"/>
  <c r="AL11" i="1"/>
  <c r="Y11" i="1"/>
  <c r="U11" i="1"/>
  <c r="T11" i="1"/>
  <c r="CL10" i="1"/>
  <c r="BY10" i="1"/>
  <c r="BL10" i="1"/>
  <c r="AY10" i="1"/>
  <c r="AL10" i="1"/>
  <c r="Y10" i="1"/>
  <c r="CL9" i="1"/>
  <c r="BY9" i="1"/>
  <c r="BL9" i="1"/>
  <c r="AY9" i="1"/>
  <c r="AL9" i="1"/>
  <c r="Y9" i="1"/>
  <c r="T9" i="1"/>
  <c r="U9" i="1" s="1"/>
  <c r="CL5" i="1"/>
  <c r="BY5" i="1"/>
  <c r="BL5" i="1"/>
  <c r="AY5" i="1"/>
  <c r="AL5" i="1"/>
  <c r="Y5" i="1"/>
  <c r="U5" i="1"/>
  <c r="T5" i="1"/>
  <c r="CL4" i="1"/>
  <c r="BY4" i="1"/>
  <c r="BL4" i="1"/>
  <c r="AY4" i="1"/>
  <c r="AL4" i="1"/>
  <c r="Y4" i="1"/>
  <c r="T4" i="1"/>
  <c r="U4" i="1" s="1"/>
  <c r="CL3" i="1"/>
  <c r="BY3" i="1"/>
  <c r="BL3" i="1"/>
  <c r="AY3" i="1"/>
  <c r="AL3" i="1"/>
  <c r="Y3" i="1"/>
  <c r="T3" i="1"/>
  <c r="U3" i="1" s="1"/>
  <c r="CL2" i="1"/>
  <c r="BY2" i="1"/>
  <c r="BL2" i="1"/>
  <c r="AY2" i="1"/>
  <c r="AL2" i="1"/>
  <c r="Y2" i="1"/>
  <c r="U2" i="1"/>
  <c r="T2" i="1"/>
</calcChain>
</file>

<file path=xl/sharedStrings.xml><?xml version="1.0" encoding="utf-8"?>
<sst xmlns="http://schemas.openxmlformats.org/spreadsheetml/2006/main" count="702" uniqueCount="275">
  <si>
    <t>orderBy</t>
  </si>
  <si>
    <t>Id Commessa</t>
  </si>
  <si>
    <t>Id Voce</t>
  </si>
  <si>
    <t>Id Costo</t>
  </si>
  <si>
    <t>Id Ordine</t>
  </si>
  <si>
    <t>Id BEM</t>
  </si>
  <si>
    <t>Id RigaOrdine</t>
  </si>
  <si>
    <t>dal</t>
  </si>
  <si>
    <t>al</t>
  </si>
  <si>
    <t>mesiTotali</t>
  </si>
  <si>
    <t>importoMensile</t>
  </si>
  <si>
    <t>Codice WBS</t>
  </si>
  <si>
    <t>Voce di costo</t>
  </si>
  <si>
    <t>Ordine</t>
  </si>
  <si>
    <t>Fornitore</t>
  </si>
  <si>
    <t>Descrizione</t>
  </si>
  <si>
    <t>Budget approvato</t>
  </si>
  <si>
    <t>A Contrattualizzato</t>
  </si>
  <si>
    <t>B Costi a finire</t>
  </si>
  <si>
    <t>TOT=A+B</t>
  </si>
  <si>
    <t>Delta=TOT-Budget</t>
  </si>
  <si>
    <t>Stato ordine</t>
  </si>
  <si>
    <t>Importo prodotto</t>
  </si>
  <si>
    <t>Importo da produrre</t>
  </si>
  <si>
    <t>2020</t>
  </si>
  <si>
    <t>01 2020</t>
  </si>
  <si>
    <t>02 2020</t>
  </si>
  <si>
    <t>03 2020</t>
  </si>
  <si>
    <t>04 2020</t>
  </si>
  <si>
    <t>05 2020</t>
  </si>
  <si>
    <t>06 2020</t>
  </si>
  <si>
    <t>07 2020</t>
  </si>
  <si>
    <t>08 2020</t>
  </si>
  <si>
    <t>09 2020</t>
  </si>
  <si>
    <t>10 2020</t>
  </si>
  <si>
    <t>11 2020</t>
  </si>
  <si>
    <t>12 2020</t>
  </si>
  <si>
    <t>2021</t>
  </si>
  <si>
    <t>01 2021</t>
  </si>
  <si>
    <t>02 2021</t>
  </si>
  <si>
    <t>03 2021</t>
  </si>
  <si>
    <t>04 2021</t>
  </si>
  <si>
    <t>05 2021</t>
  </si>
  <si>
    <t>06 2021</t>
  </si>
  <si>
    <t>07 2021</t>
  </si>
  <si>
    <t>08 2021</t>
  </si>
  <si>
    <t>09 2021</t>
  </si>
  <si>
    <t>10 2021</t>
  </si>
  <si>
    <t>11 2021</t>
  </si>
  <si>
    <t>12 2021</t>
  </si>
  <si>
    <t>2022</t>
  </si>
  <si>
    <t>01 2022</t>
  </si>
  <si>
    <t>02 2022</t>
  </si>
  <si>
    <t>03 2022</t>
  </si>
  <si>
    <t>04 2022</t>
  </si>
  <si>
    <t>05 2022</t>
  </si>
  <si>
    <t>06 2022</t>
  </si>
  <si>
    <t>07 2022</t>
  </si>
  <si>
    <t>08 2022</t>
  </si>
  <si>
    <t>09 2022</t>
  </si>
  <si>
    <t>10 2022</t>
  </si>
  <si>
    <t>11 2022</t>
  </si>
  <si>
    <t>12 2022</t>
  </si>
  <si>
    <t>2023</t>
  </si>
  <si>
    <t>01 2023</t>
  </si>
  <si>
    <t>02 2023</t>
  </si>
  <si>
    <t>03 2023</t>
  </si>
  <si>
    <t>04 2023</t>
  </si>
  <si>
    <t>05 2023</t>
  </si>
  <si>
    <t>06 2023</t>
  </si>
  <si>
    <t>07 2023</t>
  </si>
  <si>
    <t>08 2023</t>
  </si>
  <si>
    <t>09 2023</t>
  </si>
  <si>
    <t>10 2023</t>
  </si>
  <si>
    <t>11 2023</t>
  </si>
  <si>
    <t>12 2023</t>
  </si>
  <si>
    <t>2024</t>
  </si>
  <si>
    <t>01 2024</t>
  </si>
  <si>
    <t>02 2024</t>
  </si>
  <si>
    <t>03 2024</t>
  </si>
  <si>
    <t>04 2024</t>
  </si>
  <si>
    <t>05 2024</t>
  </si>
  <si>
    <t>06 2024</t>
  </si>
  <si>
    <t>07 2024</t>
  </si>
  <si>
    <t>08 2024</t>
  </si>
  <si>
    <t>09 2024</t>
  </si>
  <si>
    <t>10 2024</t>
  </si>
  <si>
    <t>11 2024</t>
  </si>
  <si>
    <t>12 2024</t>
  </si>
  <si>
    <t>2025</t>
  </si>
  <si>
    <t>01 2025</t>
  </si>
  <si>
    <t>02 2025</t>
  </si>
  <si>
    <t>03 2025</t>
  </si>
  <si>
    <t>04 2025</t>
  </si>
  <si>
    <t>05 2025</t>
  </si>
  <si>
    <t>06 2025</t>
  </si>
  <si>
    <t>07 2025</t>
  </si>
  <si>
    <t>08 2025</t>
  </si>
  <si>
    <t>09 2025</t>
  </si>
  <si>
    <t>10 2025</t>
  </si>
  <si>
    <t>11 2025</t>
  </si>
  <si>
    <t>12 2025</t>
  </si>
  <si>
    <t>B2</t>
  </si>
  <si>
    <t>TOTALE HARD COST</t>
  </si>
  <si>
    <t>B3</t>
  </si>
  <si>
    <t>ALLACCIAMENTI</t>
  </si>
  <si>
    <t>B4</t>
  </si>
  <si>
    <t>TOTALE SOFT COST</t>
  </si>
  <si>
    <t>TG</t>
  </si>
  <si>
    <t>TOTALE</t>
  </si>
  <si>
    <t>B1</t>
  </si>
  <si>
    <t>CONTRIBUTI E ONERI DI URBANIZZAZIONE</t>
  </si>
  <si>
    <t>a) Budget</t>
  </si>
  <si>
    <t>...</t>
  </si>
  <si>
    <t>b) A finire</t>
  </si>
  <si>
    <t>B1.1</t>
  </si>
  <si>
    <t>Contributi costi di costruzione e oneri di urbanizzazione</t>
  </si>
  <si>
    <t>CON00014689/001</t>
  </si>
  <si>
    <t>COMUNE DI PISA</t>
  </si>
  <si>
    <t>Pagamento monetizzazione oneri parcheggi per rilascio permesso di costruire edificio N</t>
  </si>
  <si>
    <t>c) Ordine</t>
  </si>
  <si>
    <t>d) Bem</t>
  </si>
  <si>
    <t>B1.2</t>
  </si>
  <si>
    <t>Oneri di urbanizzazione primaria</t>
  </si>
  <si>
    <t>CON00014690/001</t>
  </si>
  <si>
    <t>Monetizzazione Oneri parcheggi e contributo costo di costruzione edificio 1-2</t>
  </si>
  <si>
    <t>B1.3</t>
  </si>
  <si>
    <t>Oneri di urbanizzazione secondaria</t>
  </si>
  <si>
    <t>CON00014696/001</t>
  </si>
  <si>
    <t>MONETIZZAZIONE PARCHEGGI E PRIMA RATA DEGLI ONERI DI URBANIZZAZIONE SECONDARIA A CONGUAGLIO PER GLI EDIFICI 5</t>
  </si>
  <si>
    <t>CON00014740/001</t>
  </si>
  <si>
    <t>Pagamento oneri di urbanizzazione e monetizzazione per permesso di costruire edificio 6, riqualificazione del complesso Ex caserma Curtatone Montanara di Pisa</t>
  </si>
  <si>
    <t>B2.1</t>
  </si>
  <si>
    <t>OPERE</t>
  </si>
  <si>
    <t>B2.1.1</t>
  </si>
  <si>
    <t>Opere - Edificio, opere a verde e viabilità</t>
  </si>
  <si>
    <t>B2.1.1.g</t>
  </si>
  <si>
    <t>Scavi archeologici</t>
  </si>
  <si>
    <t>CON00010299/001</t>
  </si>
  <si>
    <t>Colombani Costruzioni S.r.l.</t>
  </si>
  <si>
    <t>FHT/MBA/gbu/22/1495 Saggi archeologici</t>
  </si>
  <si>
    <t>B2.1.1.h</t>
  </si>
  <si>
    <t>Edificazione</t>
  </si>
  <si>
    <t>B2.1.2</t>
  </si>
  <si>
    <t>Bonifiche ambientali - Bonifica bellica</t>
  </si>
  <si>
    <t>B2.1.2.a</t>
  </si>
  <si>
    <t>Bonifiche ambientali</t>
  </si>
  <si>
    <t>B2.2</t>
  </si>
  <si>
    <t>OPERE DI URBANIZZAZIONE PRIMARIA/SECONDARIA A SCOMPUTO</t>
  </si>
  <si>
    <t>B2.2.4</t>
  </si>
  <si>
    <t>Opere di urbanizzazione primaria</t>
  </si>
  <si>
    <t>B2.2.4.a</t>
  </si>
  <si>
    <t xml:space="preserve">Viabilità, percorsi e reti </t>
  </si>
  <si>
    <t>B2.2.5</t>
  </si>
  <si>
    <t xml:space="preserve">Opere di urbanizzazione secondaria </t>
  </si>
  <si>
    <t>B2.2.5.a</t>
  </si>
  <si>
    <t>Opere a verde</t>
  </si>
  <si>
    <t>B3.4</t>
  </si>
  <si>
    <t>ALLACCIAMENTI TELECOMUNICAZIONI</t>
  </si>
  <si>
    <t>CON00013998/001</t>
  </si>
  <si>
    <t>TIM  SPA</t>
  </si>
  <si>
    <t>Allacciamento della linea telefonica per la riqualificazione della ex caserma Curtatone Montanara in via giordano Bruno - approvazione del progetto</t>
  </si>
  <si>
    <t>B4.1</t>
  </si>
  <si>
    <t>SPESE TECNICHE DI PROGETTAZIONE ED ESECUZIONE LAVORI</t>
  </si>
  <si>
    <t>B4.1.1</t>
  </si>
  <si>
    <t>Progettazione urbanistica</t>
  </si>
  <si>
    <t>B4.1.1.a</t>
  </si>
  <si>
    <t>ORD00020833</t>
  </si>
  <si>
    <t>PIERATTELLI ARCHITETTURE SRL</t>
  </si>
  <si>
    <t>FHT/DV/acol/20/3037 Progettazione, DL, CSE, RL, catasto, Certificazioni acustiche e energetiche Caserma Curtatone Montanara Da acquisire</t>
  </si>
  <si>
    <t>B4.1.2</t>
  </si>
  <si>
    <t>Progettazione Preliminare - Concept</t>
  </si>
  <si>
    <t>B4.1.2.d</t>
  </si>
  <si>
    <t>Preliminare strutturale</t>
  </si>
  <si>
    <t>B4.1.3</t>
  </si>
  <si>
    <t>Progettazione Definitiva - Titoli abilitativi</t>
  </si>
  <si>
    <t>B4.1.3.a</t>
  </si>
  <si>
    <t>Definitivo architettonico + Titolo abilitativo</t>
  </si>
  <si>
    <t>B4.1.3.f</t>
  </si>
  <si>
    <t>Progettazione opere  sistemazioni a verde</t>
  </si>
  <si>
    <t>ORD00020836</t>
  </si>
  <si>
    <t>P’ARCNOUVEAU</t>
  </si>
  <si>
    <t>FHT/ACOL/acol/20/3628 Caserma Curtatone Montanara Da acquisire</t>
  </si>
  <si>
    <t>B4.1.4</t>
  </si>
  <si>
    <t>Progettazione Esecutiva - RdO</t>
  </si>
  <si>
    <t>B4.1.4.a</t>
  </si>
  <si>
    <t>Esecutivo architettonico</t>
  </si>
  <si>
    <t>CON00014526/001</t>
  </si>
  <si>
    <t>FHT/DV/acol/20/3037 Progettazione, DL, CSE, RL, catasto, Certificazioni acustiche e energetiche Caserma Curtatone Montanara</t>
  </si>
  <si>
    <t>B4.1.4.d</t>
  </si>
  <si>
    <t>Esecutivo geologico e istanze</t>
  </si>
  <si>
    <t>CON00010343/001</t>
  </si>
  <si>
    <t>STANTEC S.P.A.</t>
  </si>
  <si>
    <t>FHT/ACOL/acol/20/2458 Assistenza progetto ambientale di bonifica</t>
  </si>
  <si>
    <t>ORD00020840</t>
  </si>
  <si>
    <t>FHT/ACOL/acol/20/2458 Assistenza progetto ambientale di bonifica
inserito ADDENDUM I € 3.997,00</t>
  </si>
  <si>
    <t>B4.1.5</t>
  </si>
  <si>
    <t>Spese tecniche relative alla fase Esecutiva di direzione del cantiere</t>
  </si>
  <si>
    <t>B4.1.5.c</t>
  </si>
  <si>
    <t>Direzione Lavori  Generale</t>
  </si>
  <si>
    <t>B4.1.5.i</t>
  </si>
  <si>
    <t xml:space="preserve">Direzione Lavori Specialistica per i pozzi </t>
  </si>
  <si>
    <t>ORD00020837</t>
  </si>
  <si>
    <t>GIORGI GUIDO ARCH.</t>
  </si>
  <si>
    <t>FHT/ACOL/acol/20/3371 RL e CSE per campionamenti terre</t>
  </si>
  <si>
    <t>B4.1.6</t>
  </si>
  <si>
    <t>Altro</t>
  </si>
  <si>
    <t>B4.1.6.a</t>
  </si>
  <si>
    <t>Pratiche catastali</t>
  </si>
  <si>
    <t>B4.2</t>
  </si>
  <si>
    <t>SPESE TECNICHE PER ATTIVITA' DI SUPPORTO</t>
  </si>
  <si>
    <t>B4.2.1</t>
  </si>
  <si>
    <t>Analisi e controllo tecnico in fase di progettazione ed Esecuzione</t>
  </si>
  <si>
    <t>B4.2.1.a</t>
  </si>
  <si>
    <t>Collaudo statico</t>
  </si>
  <si>
    <t>B4.2.1.b</t>
  </si>
  <si>
    <t>Collaudo OOUU</t>
  </si>
  <si>
    <t>B4.2.1.d</t>
  </si>
  <si>
    <t>Certificazione energetica</t>
  </si>
  <si>
    <t>B4.2.1.e</t>
  </si>
  <si>
    <t>Certificazione / collaudo acustico</t>
  </si>
  <si>
    <t>B4.2.1.f</t>
  </si>
  <si>
    <t>Validazione</t>
  </si>
  <si>
    <t>B4.2.1.g</t>
  </si>
  <si>
    <t>Controllo tecnico ai fini della Decennale Postuma</t>
  </si>
  <si>
    <t>B4.2.2</t>
  </si>
  <si>
    <t>Project management</t>
  </si>
  <si>
    <t>B4.2.2.a</t>
  </si>
  <si>
    <t>CON00010365/001</t>
  </si>
  <si>
    <t>ABITARE TOSCANA SRL</t>
  </si>
  <si>
    <t>FHT/PB/dbr/22/1270 Servizi supporto allo sviluppo</t>
  </si>
  <si>
    <t>B4.2.5</t>
  </si>
  <si>
    <t>Rilievi, Accertamenti e Indagini</t>
  </si>
  <si>
    <t>B4.2.5.a</t>
  </si>
  <si>
    <t>CON00003210/001</t>
  </si>
  <si>
    <t>S.I.R.E. SOC. ITAL. REST. EDIL</t>
  </si>
  <si>
    <t>Saggi su edifici esistenti - Pisa Caserma Curtatone - FHT/ACOL/acol/20/3276</t>
  </si>
  <si>
    <t>B4.2.5.d</t>
  </si>
  <si>
    <t>Indagiini e saggi strutturali</t>
  </si>
  <si>
    <t>CON00010711/001</t>
  </si>
  <si>
    <t>COOPERATIVA ARCHEOLOGIA</t>
  </si>
  <si>
    <t>FHT/MBA/gbu/22/1491 Riqualificazione e assistenza tecnologica</t>
  </si>
  <si>
    <t>B4.2.5.e</t>
  </si>
  <si>
    <t xml:space="preserve">Indagiini e relazioni  geotecniche </t>
  </si>
  <si>
    <t>ORD00020873</t>
  </si>
  <si>
    <t>TOSCHI MARCO GEOL.</t>
  </si>
  <si>
    <t>FHT/ACOL/acol/20/3666</t>
  </si>
  <si>
    <t>B4.2.5.f</t>
  </si>
  <si>
    <t xml:space="preserve">Rilievi Topografici </t>
  </si>
  <si>
    <t>B4.2.6</t>
  </si>
  <si>
    <t>Due Diligence Ambientale e Archeologica</t>
  </si>
  <si>
    <t>B4.2.6.a</t>
  </si>
  <si>
    <t>Due Diligence Ambientale</t>
  </si>
  <si>
    <t>B4.2.7</t>
  </si>
  <si>
    <t>Attività di Monitoraggio</t>
  </si>
  <si>
    <t>B4.2.7.a</t>
  </si>
  <si>
    <t>Gestione passività ambientali falda/terreni</t>
  </si>
  <si>
    <t>B4.2.7.b</t>
  </si>
  <si>
    <t>Monitoraggio stato zero, cantiere, fine lavori (acustico, aria, suolo, acqua)</t>
  </si>
  <si>
    <t>B4.4</t>
  </si>
  <si>
    <t>ALTRE ED EVENTUALI</t>
  </si>
  <si>
    <t>B4.4.4</t>
  </si>
  <si>
    <t>Fidejussioni (OOUU, Opere a cura e spese, etc)</t>
  </si>
  <si>
    <t>CON00013363/001</t>
  </si>
  <si>
    <t>AON SPA</t>
  </si>
  <si>
    <t>Pagamento fidejussione a copertura delle opere di urbanizzazione per la riqualificazione della caserma Pisa Curtatone</t>
  </si>
  <si>
    <t>TOTALE GENERALE</t>
  </si>
  <si>
    <t>TGI</t>
  </si>
  <si>
    <t>TOTALE GENERALE  + IMPREVISTI</t>
  </si>
  <si>
    <t>TGIS</t>
  </si>
  <si>
    <t>TOTALE GENERALE  + IMPREVISTI (al netto degli scomputi e contributi)</t>
  </si>
  <si>
    <t>I</t>
  </si>
  <si>
    <t>DEVELOPEMENT FEE</t>
  </si>
  <si>
    <t>TEF</t>
  </si>
  <si>
    <t>TOTALE ESBORSI  PER IL FONDO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</si>
</sst>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€#,##0.00"/>
  </numFmts>
  <fonts count="6">
    <font>
      <sz val="11"/>
      <name val="Calibri"/>
    </font>
    <font>
      <b/>
      <sz val="11"/>
      <color rgb="FFFFFFFF"/>
      <name val="Calibri"/>
    </font>
    <font>
      <sz val="11"/>
      <color rgb="FFFFFFFF"/>
      <name val="Calibri"/>
    </font>
    <font>
      <b/>
      <sz val="10"/>
      <color rgb="FFFFFFFF"/>
      <name val="Tahoma"/>
    </font>
    <font>
      <sz val="10"/>
      <name val="Tahoma"/>
    </font>
    <font>
      <sz val="10"/>
      <color rgb="FFFFFFFF"/>
      <name val="Tahoma"/>
    </font>
  </fonts>
  <fills count="3">
    <fill>
      <patternFill patternType="none"/>
    </fill>
    <fill>
      <patternFill patternType="gray125"/>
    </fill>
    <fill>
      <patternFill patternType="solid">
        <fgColor rgb="FF1F497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3" fillId="2" borderId="1" xfId="0" applyFont="1" applyFill="1" applyBorder="1"/>
    <xf numFmtId="0" fontId="4" fillId="0" borderId="1" xfId="0" applyFont="1" applyBorder="1"/>
    <xf numFmtId="164" fontId="4" fillId="0" borderId="1" xfId="0" applyNumberFormat="1" applyFont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wrapText="1"/>
    </xf>
  </cellXfs>
  <cellStyles count="1">
    <cellStyle name="Normale" xfId="0" builtinId="0"/>
  </cellStyles>
  <dxfs count="20">
    <dxf>
      <fill>
        <patternFill patternType="solid">
          <bgColor rgb="FFFF0000"/>
        </patternFill>
      </fill>
    </dxf>
    <dxf>
      <fill>
        <patternFill patternType="solid">
          <bgColor rgb="FFFFFF99"/>
        </patternFill>
      </fill>
    </dxf>
    <dxf>
      <font>
        <color rgb="FFFF0000"/>
      </font>
    </dxf>
    <dxf>
      <font>
        <color rgb="FFFFFFFF"/>
      </font>
    </dxf>
    <dxf>
      <font>
        <b/>
      </font>
    </dxf>
    <dxf>
      <font>
        <b/>
      </font>
    </dxf>
    <dxf>
      <fill>
        <patternFill patternType="solid">
          <bgColor rgb="FFD9D9D9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538DD5"/>
        </patternFill>
      </fill>
    </dxf>
    <dxf>
      <font>
        <i/>
      </font>
    </dxf>
    <dxf>
      <fill>
        <patternFill patternType="solid">
          <bgColor rgb="FFFF0000"/>
        </patternFill>
      </fill>
    </dxf>
    <dxf>
      <fill>
        <patternFill patternType="solid">
          <bgColor rgb="FFFFFF99"/>
        </patternFill>
      </fill>
    </dxf>
    <dxf>
      <font>
        <color rgb="FFFF0000"/>
      </font>
    </dxf>
    <dxf>
      <font>
        <color rgb="FFFFFFFF"/>
      </font>
    </dxf>
    <dxf>
      <font>
        <b/>
      </font>
    </dxf>
    <dxf>
      <font>
        <b/>
      </font>
    </dxf>
    <dxf>
      <fill>
        <patternFill patternType="solid">
          <bgColor rgb="FFD9D9D9"/>
        </patternFill>
      </fill>
    </dxf>
    <dxf>
      <fill>
        <patternFill patternType="solid">
          <bgColor rgb="FFB8CCE4"/>
        </patternFill>
      </fill>
    </dxf>
    <dxf>
      <fill>
        <patternFill patternType="solid">
          <bgColor rgb="FF538DD5"/>
        </patternFill>
      </fill>
    </dxf>
    <dxf>
      <font>
        <i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Z300"/>
  <sheetViews>
    <sheetView tabSelected="1" topLeftCell="BI97" workbookViewId="0">
      <selection activeCell="CH136" sqref="CH136"/>
    </sheetView>
  </sheetViews>
  <sheetFormatPr defaultRowHeight="14.5"/>
  <cols>
    <col min="1" max="11" width="0" hidden="1" customWidth="1"/>
    <col min="13" max="13" width="50" customWidth="1"/>
    <col min="14" max="14" width="20" customWidth="1"/>
    <col min="15" max="15" width="30" customWidth="1"/>
    <col min="16" max="16" width="80" customWidth="1"/>
    <col min="17" max="22" width="18" customWidth="1"/>
    <col min="23" max="23" width="18" hidden="1" customWidth="1"/>
    <col min="24" max="24" width="18" customWidth="1"/>
    <col min="25" max="25" width="11.54296875" bestFit="1" customWidth="1"/>
    <col min="26" max="36" width="9.90625" bestFit="1" customWidth="1"/>
    <col min="37" max="37" width="11.54296875" bestFit="1" customWidth="1"/>
    <col min="38" max="38" width="12.7265625" bestFit="1" customWidth="1"/>
    <col min="39" max="39" width="10.36328125" bestFit="1" customWidth="1"/>
    <col min="40" max="40" width="11.54296875" bestFit="1" customWidth="1"/>
    <col min="41" max="44" width="8.6328125" bestFit="1" customWidth="1"/>
    <col min="45" max="45" width="10.36328125" bestFit="1" customWidth="1"/>
    <col min="46" max="46" width="11.54296875" bestFit="1" customWidth="1"/>
    <col min="47" max="48" width="8.6328125" bestFit="1" customWidth="1"/>
    <col min="49" max="49" width="11.54296875" bestFit="1" customWidth="1"/>
    <col min="50" max="50" width="8.6328125" bestFit="1" customWidth="1"/>
    <col min="51" max="51" width="14.54296875" bestFit="1" customWidth="1"/>
    <col min="52" max="57" width="8.7265625" customWidth="1"/>
    <col min="58" max="58" width="11.54296875" bestFit="1" customWidth="1"/>
    <col min="59" max="63" width="8.7265625" customWidth="1"/>
    <col min="64" max="64" width="18" customWidth="1"/>
    <col min="65" max="76" width="8.7265625" customWidth="1"/>
    <col min="77" max="77" width="18" customWidth="1"/>
    <col min="78" max="78" width="12.7265625" bestFit="1" customWidth="1"/>
    <col min="79" max="88" width="8.7265625" customWidth="1"/>
    <col min="89" max="89" width="11.54296875" bestFit="1" customWidth="1"/>
    <col min="90" max="90" width="18" customWidth="1"/>
    <col min="91" max="100" width="8.7265625" customWidth="1"/>
    <col min="101" max="102" width="0" hidden="1" customWidth="1"/>
  </cols>
  <sheetData>
    <row r="1" spans="1:13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</row>
    <row r="2" spans="1:130">
      <c r="A2" s="4"/>
      <c r="B2" s="4"/>
      <c r="C2" s="4">
        <v>2491</v>
      </c>
      <c r="D2" s="4"/>
      <c r="E2" s="4"/>
      <c r="F2" s="4"/>
      <c r="G2" s="4"/>
      <c r="H2" s="4"/>
      <c r="I2" s="4"/>
      <c r="J2" s="4"/>
      <c r="K2" s="5"/>
      <c r="L2" s="4" t="s">
        <v>102</v>
      </c>
      <c r="M2" s="8" t="s">
        <v>103</v>
      </c>
      <c r="N2" s="4"/>
      <c r="O2" s="8"/>
      <c r="P2" s="8"/>
      <c r="Q2" s="5">
        <v>9958491</v>
      </c>
      <c r="R2" s="5">
        <v>11100</v>
      </c>
      <c r="S2" s="5">
        <v>12066750.57</v>
      </c>
      <c r="T2" s="5">
        <f>SUM(R2:S2)</f>
        <v>12077850.57</v>
      </c>
      <c r="U2" s="5">
        <f>(T2-Q2)</f>
        <v>2119359.5700000003</v>
      </c>
      <c r="V2" s="4"/>
      <c r="W2" s="5">
        <v>11100</v>
      </c>
      <c r="X2" s="5">
        <v>12066750.57</v>
      </c>
      <c r="Y2" s="5">
        <f>SUM(Z2:AK2)</f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5">
        <v>0</v>
      </c>
      <c r="AH2" s="5">
        <v>0</v>
      </c>
      <c r="AI2" s="5">
        <v>0</v>
      </c>
      <c r="AJ2" s="5">
        <v>0</v>
      </c>
      <c r="AK2" s="5">
        <v>0</v>
      </c>
      <c r="AL2" s="5">
        <f>SUM(AM2:AX2)</f>
        <v>0</v>
      </c>
      <c r="AM2" s="5">
        <v>0</v>
      </c>
      <c r="AN2" s="5">
        <v>0</v>
      </c>
      <c r="AO2" s="5">
        <v>0</v>
      </c>
      <c r="AP2" s="5">
        <v>0</v>
      </c>
      <c r="AQ2" s="5">
        <v>0</v>
      </c>
      <c r="AR2" s="5">
        <v>0</v>
      </c>
      <c r="AS2" s="5">
        <v>0</v>
      </c>
      <c r="AT2" s="5">
        <v>0</v>
      </c>
      <c r="AU2" s="5">
        <v>0</v>
      </c>
      <c r="AV2" s="5">
        <v>0</v>
      </c>
      <c r="AW2" s="5">
        <v>0</v>
      </c>
      <c r="AX2" s="5">
        <v>0</v>
      </c>
      <c r="AY2" s="5">
        <f>SUM(AZ2:BK2)</f>
        <v>11100</v>
      </c>
      <c r="AZ2" s="5">
        <v>0</v>
      </c>
      <c r="BA2" s="5">
        <v>0</v>
      </c>
      <c r="BB2" s="5">
        <v>0</v>
      </c>
      <c r="BC2" s="5">
        <v>0</v>
      </c>
      <c r="BD2" s="5">
        <v>0</v>
      </c>
      <c r="BE2" s="5">
        <v>0</v>
      </c>
      <c r="BF2" s="5">
        <v>11100</v>
      </c>
      <c r="BG2" s="5">
        <v>0</v>
      </c>
      <c r="BH2" s="5">
        <v>0</v>
      </c>
      <c r="BI2" s="5">
        <v>0</v>
      </c>
      <c r="BJ2" s="5">
        <v>0</v>
      </c>
      <c r="BK2" s="5">
        <v>0</v>
      </c>
      <c r="BL2" s="5">
        <f>SUM(BM2:BX2)</f>
        <v>0</v>
      </c>
      <c r="BM2" s="5">
        <v>0</v>
      </c>
      <c r="BN2" s="5">
        <v>0</v>
      </c>
      <c r="BO2" s="5">
        <v>0</v>
      </c>
      <c r="BP2" s="5">
        <v>0</v>
      </c>
      <c r="BQ2" s="5">
        <v>0</v>
      </c>
      <c r="BR2" s="5">
        <v>0</v>
      </c>
      <c r="BS2" s="5">
        <v>0</v>
      </c>
      <c r="BT2" s="5">
        <v>0</v>
      </c>
      <c r="BU2" s="5">
        <v>0</v>
      </c>
      <c r="BV2" s="5">
        <v>0</v>
      </c>
      <c r="BW2" s="5">
        <v>0</v>
      </c>
      <c r="BX2" s="5">
        <v>0</v>
      </c>
      <c r="BY2" s="5">
        <f>SUM(BZ2:CK2)</f>
        <v>0</v>
      </c>
      <c r="BZ2" s="5">
        <v>0</v>
      </c>
      <c r="CA2" s="5">
        <v>0</v>
      </c>
      <c r="CB2" s="5">
        <v>0</v>
      </c>
      <c r="CC2" s="5">
        <v>0</v>
      </c>
      <c r="CD2" s="5">
        <v>0</v>
      </c>
      <c r="CE2" s="5">
        <v>0</v>
      </c>
      <c r="CF2" s="5">
        <v>0</v>
      </c>
      <c r="CG2" s="5">
        <v>0</v>
      </c>
      <c r="CH2" s="5">
        <v>0</v>
      </c>
      <c r="CI2" s="5">
        <v>0</v>
      </c>
      <c r="CJ2" s="5">
        <v>0</v>
      </c>
      <c r="CK2" s="5">
        <v>0</v>
      </c>
      <c r="CL2" s="5">
        <f>SUM(CM2:CX2)</f>
        <v>0</v>
      </c>
      <c r="CM2" s="5">
        <v>0</v>
      </c>
      <c r="CN2" s="5">
        <v>0</v>
      </c>
      <c r="CO2" s="5">
        <v>0</v>
      </c>
      <c r="CP2" s="5">
        <v>0</v>
      </c>
      <c r="CQ2" s="5">
        <v>0</v>
      </c>
      <c r="CR2" s="5">
        <v>0</v>
      </c>
      <c r="CS2" s="5">
        <v>0</v>
      </c>
      <c r="CT2" s="5">
        <v>0</v>
      </c>
      <c r="CU2" s="5">
        <v>0</v>
      </c>
      <c r="CV2" s="5">
        <v>0</v>
      </c>
      <c r="CW2" s="5">
        <v>0</v>
      </c>
      <c r="CX2" s="5">
        <v>0</v>
      </c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</row>
    <row r="3" spans="1:130">
      <c r="A3" s="4"/>
      <c r="B3" s="4"/>
      <c r="C3" s="4">
        <v>2492</v>
      </c>
      <c r="D3" s="4"/>
      <c r="E3" s="4"/>
      <c r="F3" s="4"/>
      <c r="G3" s="4"/>
      <c r="H3" s="4"/>
      <c r="I3" s="4"/>
      <c r="J3" s="4"/>
      <c r="K3" s="5"/>
      <c r="L3" s="4" t="s">
        <v>104</v>
      </c>
      <c r="M3" s="8" t="s">
        <v>105</v>
      </c>
      <c r="N3" s="4"/>
      <c r="O3" s="8"/>
      <c r="P3" s="8"/>
      <c r="Q3" s="5">
        <v>193170</v>
      </c>
      <c r="R3" s="5">
        <v>1350</v>
      </c>
      <c r="S3" s="5">
        <v>0</v>
      </c>
      <c r="T3" s="5">
        <f>SUM(R3:S3)</f>
        <v>1350</v>
      </c>
      <c r="U3" s="5">
        <f>(T3-Q3)</f>
        <v>-191820</v>
      </c>
      <c r="V3" s="4"/>
      <c r="W3" s="5">
        <v>0</v>
      </c>
      <c r="X3" s="5">
        <v>0</v>
      </c>
      <c r="Y3" s="5">
        <f>SUM(Z3:AK3)</f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f>SUM(AM3:AX3)</f>
        <v>0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5">
        <v>0</v>
      </c>
      <c r="AT3" s="5">
        <v>0</v>
      </c>
      <c r="AU3" s="5">
        <v>0</v>
      </c>
      <c r="AV3" s="5">
        <v>0</v>
      </c>
      <c r="AW3" s="5">
        <v>0</v>
      </c>
      <c r="AX3" s="5">
        <v>0</v>
      </c>
      <c r="AY3" s="5">
        <f>SUM(AZ3:BK3)</f>
        <v>0</v>
      </c>
      <c r="AZ3" s="5">
        <v>0</v>
      </c>
      <c r="BA3" s="5">
        <v>0</v>
      </c>
      <c r="BB3" s="5">
        <v>0</v>
      </c>
      <c r="BC3" s="5">
        <v>0</v>
      </c>
      <c r="BD3" s="5">
        <v>0</v>
      </c>
      <c r="BE3" s="5">
        <v>0</v>
      </c>
      <c r="BF3" s="5">
        <v>0</v>
      </c>
      <c r="BG3" s="5">
        <v>0</v>
      </c>
      <c r="BH3" s="5">
        <v>0</v>
      </c>
      <c r="BI3" s="5">
        <v>0</v>
      </c>
      <c r="BJ3" s="5">
        <v>0</v>
      </c>
      <c r="BK3" s="5">
        <v>0</v>
      </c>
      <c r="BL3" s="5">
        <f>SUM(BM3:BX3)</f>
        <v>0</v>
      </c>
      <c r="BM3" s="5">
        <v>0</v>
      </c>
      <c r="BN3" s="5">
        <v>0</v>
      </c>
      <c r="BO3" s="5">
        <v>0</v>
      </c>
      <c r="BP3" s="5">
        <v>0</v>
      </c>
      <c r="BQ3" s="5">
        <v>0</v>
      </c>
      <c r="BR3" s="5">
        <v>0</v>
      </c>
      <c r="BS3" s="5">
        <v>0</v>
      </c>
      <c r="BT3" s="5">
        <v>0</v>
      </c>
      <c r="BU3" s="5">
        <v>0</v>
      </c>
      <c r="BV3" s="5">
        <v>0</v>
      </c>
      <c r="BW3" s="5">
        <v>0</v>
      </c>
      <c r="BX3" s="5">
        <v>0</v>
      </c>
      <c r="BY3" s="5">
        <f>SUM(BZ3:CK3)</f>
        <v>0</v>
      </c>
      <c r="BZ3" s="5">
        <v>0</v>
      </c>
      <c r="CA3" s="5">
        <v>0</v>
      </c>
      <c r="CB3" s="5">
        <v>0</v>
      </c>
      <c r="CC3" s="5">
        <v>0</v>
      </c>
      <c r="CD3" s="5">
        <v>0</v>
      </c>
      <c r="CE3" s="5">
        <v>0</v>
      </c>
      <c r="CF3" s="5">
        <v>0</v>
      </c>
      <c r="CG3" s="5">
        <v>0</v>
      </c>
      <c r="CH3" s="5">
        <v>0</v>
      </c>
      <c r="CI3" s="5">
        <v>0</v>
      </c>
      <c r="CJ3" s="5">
        <v>0</v>
      </c>
      <c r="CK3" s="5">
        <v>0</v>
      </c>
      <c r="CL3" s="5">
        <f>SUM(CM3:CX3)</f>
        <v>0</v>
      </c>
      <c r="CM3" s="5">
        <v>0</v>
      </c>
      <c r="CN3" s="5">
        <v>0</v>
      </c>
      <c r="CO3" s="5">
        <v>0</v>
      </c>
      <c r="CP3" s="5">
        <v>0</v>
      </c>
      <c r="CQ3" s="5">
        <v>0</v>
      </c>
      <c r="CR3" s="5">
        <v>0</v>
      </c>
      <c r="CS3" s="5">
        <v>0</v>
      </c>
      <c r="CT3" s="5">
        <v>0</v>
      </c>
      <c r="CU3" s="5">
        <v>0</v>
      </c>
      <c r="CV3" s="5">
        <v>0</v>
      </c>
      <c r="CW3" s="5">
        <v>0</v>
      </c>
      <c r="CX3" s="5">
        <v>0</v>
      </c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</row>
    <row r="4" spans="1:130">
      <c r="A4" s="4"/>
      <c r="B4" s="4"/>
      <c r="C4" s="4">
        <v>2493</v>
      </c>
      <c r="D4" s="4"/>
      <c r="E4" s="4"/>
      <c r="F4" s="4"/>
      <c r="G4" s="4"/>
      <c r="H4" s="4"/>
      <c r="I4" s="4"/>
      <c r="J4" s="4"/>
      <c r="K4" s="5"/>
      <c r="L4" s="4" t="s">
        <v>106</v>
      </c>
      <c r="M4" s="8" t="s">
        <v>107</v>
      </c>
      <c r="N4" s="4"/>
      <c r="O4" s="8"/>
      <c r="P4" s="8"/>
      <c r="Q4" s="5">
        <v>1110726.3999999999</v>
      </c>
      <c r="R4" s="5">
        <v>756856.95</v>
      </c>
      <c r="S4" s="5">
        <v>425634.7</v>
      </c>
      <c r="T4" s="5">
        <f>SUM(R4:S4)</f>
        <v>1182491.6499999999</v>
      </c>
      <c r="U4" s="5">
        <f>(T4-Q4)</f>
        <v>71765.25</v>
      </c>
      <c r="V4" s="4"/>
      <c r="W4" s="5">
        <v>539450.62</v>
      </c>
      <c r="X4" s="5">
        <v>425634.7</v>
      </c>
      <c r="Y4" s="5">
        <f>SUM(Z4:AK4)</f>
        <v>53713.4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5">
        <v>0</v>
      </c>
      <c r="AH4" s="5">
        <v>0</v>
      </c>
      <c r="AI4" s="5">
        <v>0</v>
      </c>
      <c r="AJ4" s="5">
        <v>0</v>
      </c>
      <c r="AK4" s="5">
        <v>53713.4</v>
      </c>
      <c r="AL4" s="5">
        <f>SUM(AM4:AX4)</f>
        <v>109319.04000000001</v>
      </c>
      <c r="AM4" s="5">
        <v>5130</v>
      </c>
      <c r="AN4" s="5">
        <v>48360</v>
      </c>
      <c r="AO4" s="5">
        <v>0</v>
      </c>
      <c r="AP4" s="5">
        <v>0</v>
      </c>
      <c r="AQ4" s="5">
        <v>0</v>
      </c>
      <c r="AR4" s="5">
        <v>0</v>
      </c>
      <c r="AS4" s="5">
        <v>7915</v>
      </c>
      <c r="AT4" s="5">
        <v>11154.5</v>
      </c>
      <c r="AU4" s="5">
        <v>0</v>
      </c>
      <c r="AV4" s="5">
        <v>0</v>
      </c>
      <c r="AW4" s="5">
        <v>36759.54</v>
      </c>
      <c r="AX4" s="5">
        <v>0</v>
      </c>
      <c r="AY4" s="5">
        <f>SUM(AZ4:BK4)</f>
        <v>195025.18</v>
      </c>
      <c r="AZ4" s="5">
        <v>0</v>
      </c>
      <c r="BA4" s="5">
        <v>110000</v>
      </c>
      <c r="BB4" s="5">
        <v>1560</v>
      </c>
      <c r="BC4" s="5">
        <v>0</v>
      </c>
      <c r="BD4" s="5">
        <v>11600</v>
      </c>
      <c r="BE4" s="5">
        <v>70550.179999999993</v>
      </c>
      <c r="BF4" s="5">
        <v>0</v>
      </c>
      <c r="BG4" s="5">
        <v>0</v>
      </c>
      <c r="BH4" s="5">
        <v>0</v>
      </c>
      <c r="BI4" s="5">
        <v>1315</v>
      </c>
      <c r="BJ4" s="5">
        <v>0</v>
      </c>
      <c r="BK4" s="5">
        <v>0</v>
      </c>
      <c r="BL4" s="5">
        <f>SUM(BM4:BX4)</f>
        <v>181393</v>
      </c>
      <c r="BM4" s="5">
        <v>0</v>
      </c>
      <c r="BN4" s="5">
        <v>0</v>
      </c>
      <c r="BO4" s="5">
        <v>7477</v>
      </c>
      <c r="BP4" s="5">
        <v>0</v>
      </c>
      <c r="BQ4" s="5">
        <v>173916</v>
      </c>
      <c r="BR4" s="5">
        <v>0</v>
      </c>
      <c r="BS4" s="5">
        <v>0</v>
      </c>
      <c r="BT4" s="5">
        <v>0</v>
      </c>
      <c r="BU4" s="5">
        <v>0</v>
      </c>
      <c r="BV4" s="5">
        <v>0</v>
      </c>
      <c r="BW4" s="5">
        <v>0</v>
      </c>
      <c r="BX4" s="5">
        <v>0</v>
      </c>
      <c r="BY4" s="5">
        <f>SUM(BZ4:CK4)</f>
        <v>0</v>
      </c>
      <c r="BZ4" s="5">
        <v>0</v>
      </c>
      <c r="CA4" s="5">
        <v>0</v>
      </c>
      <c r="CB4" s="5">
        <v>0</v>
      </c>
      <c r="CC4" s="5">
        <v>0</v>
      </c>
      <c r="CD4" s="5">
        <v>0</v>
      </c>
      <c r="CE4" s="5">
        <v>0</v>
      </c>
      <c r="CF4" s="5">
        <v>0</v>
      </c>
      <c r="CG4" s="5">
        <v>0</v>
      </c>
      <c r="CH4" s="5">
        <v>0</v>
      </c>
      <c r="CI4" s="5">
        <v>0</v>
      </c>
      <c r="CJ4" s="5">
        <v>0</v>
      </c>
      <c r="CK4" s="5">
        <v>0</v>
      </c>
      <c r="CL4" s="5">
        <f>SUM(CM4:CX4)</f>
        <v>0</v>
      </c>
      <c r="CM4" s="5">
        <v>0</v>
      </c>
      <c r="CN4" s="5">
        <v>0</v>
      </c>
      <c r="CO4" s="5">
        <v>0</v>
      </c>
      <c r="CP4" s="5">
        <v>0</v>
      </c>
      <c r="CQ4" s="5">
        <v>0</v>
      </c>
      <c r="CR4" s="5">
        <v>0</v>
      </c>
      <c r="CS4" s="5">
        <v>0</v>
      </c>
      <c r="CT4" s="5">
        <v>0</v>
      </c>
      <c r="CU4" s="5">
        <v>0</v>
      </c>
      <c r="CV4" s="5">
        <v>0</v>
      </c>
      <c r="CW4" s="5">
        <v>0</v>
      </c>
      <c r="CX4" s="5">
        <v>0</v>
      </c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</row>
    <row r="5" spans="1:130">
      <c r="A5" s="4">
        <v>999</v>
      </c>
      <c r="B5" s="4"/>
      <c r="C5" s="4">
        <v>-2</v>
      </c>
      <c r="D5" s="4"/>
      <c r="E5" s="4"/>
      <c r="F5" s="4"/>
      <c r="G5" s="4"/>
      <c r="H5" s="4"/>
      <c r="I5" s="4"/>
      <c r="J5" s="4"/>
      <c r="K5" s="5"/>
      <c r="L5" s="4" t="s">
        <v>108</v>
      </c>
      <c r="M5" s="8" t="s">
        <v>109</v>
      </c>
      <c r="N5" s="4"/>
      <c r="O5" s="8"/>
      <c r="P5" s="8"/>
      <c r="Q5" s="5">
        <v>11262387.4</v>
      </c>
      <c r="R5" s="5">
        <v>769306.95</v>
      </c>
      <c r="S5" s="5">
        <v>12492385.27</v>
      </c>
      <c r="T5" s="5">
        <f>SUM(R5:S5)</f>
        <v>13261692.219999999</v>
      </c>
      <c r="U5" s="5">
        <f>(T5-Q5)</f>
        <v>1999304.8199999984</v>
      </c>
      <c r="V5" s="4"/>
      <c r="W5" s="5">
        <v>550550.62</v>
      </c>
      <c r="X5" s="5">
        <v>12492385.27</v>
      </c>
      <c r="Y5" s="5">
        <f>SUM(Z5:AK5)</f>
        <v>53713.4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  <c r="AH5" s="5">
        <v>0</v>
      </c>
      <c r="AI5" s="5">
        <v>0</v>
      </c>
      <c r="AJ5" s="5">
        <v>0</v>
      </c>
      <c r="AK5" s="5">
        <v>53713.4</v>
      </c>
      <c r="AL5" s="5">
        <f>SUM(AM5:AX5)</f>
        <v>109319.04000000001</v>
      </c>
      <c r="AM5" s="5">
        <v>5130</v>
      </c>
      <c r="AN5" s="5">
        <v>48360</v>
      </c>
      <c r="AO5" s="5">
        <v>0</v>
      </c>
      <c r="AP5" s="5">
        <v>0</v>
      </c>
      <c r="AQ5" s="5">
        <v>0</v>
      </c>
      <c r="AR5" s="5">
        <v>0</v>
      </c>
      <c r="AS5" s="5">
        <v>7915</v>
      </c>
      <c r="AT5" s="5">
        <v>11154.5</v>
      </c>
      <c r="AU5" s="5">
        <v>0</v>
      </c>
      <c r="AV5" s="5">
        <v>0</v>
      </c>
      <c r="AW5" s="5">
        <v>36759.54</v>
      </c>
      <c r="AX5" s="5">
        <v>0</v>
      </c>
      <c r="AY5" s="5">
        <f>SUM(AZ5:BK5)</f>
        <v>206125.18</v>
      </c>
      <c r="AZ5" s="5">
        <v>0</v>
      </c>
      <c r="BA5" s="5">
        <v>110000</v>
      </c>
      <c r="BB5" s="5">
        <v>1560</v>
      </c>
      <c r="BC5" s="5">
        <v>0</v>
      </c>
      <c r="BD5" s="5">
        <v>11600</v>
      </c>
      <c r="BE5" s="5">
        <v>70550.179999999993</v>
      </c>
      <c r="BF5" s="5">
        <v>11100</v>
      </c>
      <c r="BG5" s="5">
        <v>0</v>
      </c>
      <c r="BH5" s="5">
        <v>0</v>
      </c>
      <c r="BI5" s="5">
        <v>1315</v>
      </c>
      <c r="BJ5" s="5">
        <v>0</v>
      </c>
      <c r="BK5" s="5">
        <v>0</v>
      </c>
      <c r="BL5" s="5">
        <f>SUM(BM5:BX5)</f>
        <v>181393</v>
      </c>
      <c r="BM5" s="5">
        <v>0</v>
      </c>
      <c r="BN5" s="5">
        <v>0</v>
      </c>
      <c r="BO5" s="5">
        <v>7477</v>
      </c>
      <c r="BP5" s="5">
        <v>0</v>
      </c>
      <c r="BQ5" s="5">
        <v>173916</v>
      </c>
      <c r="BR5" s="5">
        <v>0</v>
      </c>
      <c r="BS5" s="5">
        <v>0</v>
      </c>
      <c r="BT5" s="5">
        <v>0</v>
      </c>
      <c r="BU5" s="5">
        <v>0</v>
      </c>
      <c r="BV5" s="5">
        <v>0</v>
      </c>
      <c r="BW5" s="5">
        <v>0</v>
      </c>
      <c r="BX5" s="5">
        <v>0</v>
      </c>
      <c r="BY5" s="5">
        <f>SUM(BZ5:CK5)</f>
        <v>0</v>
      </c>
      <c r="BZ5" s="5">
        <v>0</v>
      </c>
      <c r="CA5" s="5">
        <v>0</v>
      </c>
      <c r="CB5" s="5">
        <v>0</v>
      </c>
      <c r="CC5" s="5">
        <v>0</v>
      </c>
      <c r="CD5" s="5">
        <v>0</v>
      </c>
      <c r="CE5" s="5">
        <v>0</v>
      </c>
      <c r="CF5" s="5">
        <v>0</v>
      </c>
      <c r="CG5" s="5">
        <v>0</v>
      </c>
      <c r="CH5" s="5">
        <v>0</v>
      </c>
      <c r="CI5" s="5">
        <v>0</v>
      </c>
      <c r="CJ5" s="5">
        <v>0</v>
      </c>
      <c r="CK5" s="5">
        <v>0</v>
      </c>
      <c r="CL5" s="5">
        <f>SUM(CM5:CX5)</f>
        <v>0</v>
      </c>
      <c r="CM5" s="5">
        <v>0</v>
      </c>
      <c r="CN5" s="5">
        <v>0</v>
      </c>
      <c r="CO5" s="5">
        <v>0</v>
      </c>
      <c r="CP5" s="5">
        <v>0</v>
      </c>
      <c r="CQ5" s="5">
        <v>0</v>
      </c>
      <c r="CR5" s="5">
        <v>0</v>
      </c>
      <c r="CS5" s="5">
        <v>0</v>
      </c>
      <c r="CT5" s="5">
        <v>0</v>
      </c>
      <c r="CU5" s="5">
        <v>0</v>
      </c>
      <c r="CV5" s="5">
        <v>0</v>
      </c>
      <c r="CW5" s="5">
        <v>0</v>
      </c>
      <c r="CX5" s="5">
        <v>0</v>
      </c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</row>
    <row r="8" spans="1:130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  <c r="K8" s="1" t="s">
        <v>10</v>
      </c>
      <c r="L8" s="1" t="s">
        <v>11</v>
      </c>
      <c r="M8" s="1" t="s">
        <v>12</v>
      </c>
      <c r="N8" s="1" t="s">
        <v>13</v>
      </c>
      <c r="O8" s="1" t="s">
        <v>14</v>
      </c>
      <c r="P8" s="1" t="s">
        <v>15</v>
      </c>
      <c r="Q8" s="1" t="s">
        <v>16</v>
      </c>
      <c r="R8" s="1" t="s">
        <v>17</v>
      </c>
      <c r="S8" s="1" t="s">
        <v>18</v>
      </c>
      <c r="T8" s="1" t="s">
        <v>19</v>
      </c>
      <c r="U8" s="1" t="s">
        <v>20</v>
      </c>
      <c r="V8" s="1" t="s">
        <v>21</v>
      </c>
      <c r="W8" s="1" t="s">
        <v>22</v>
      </c>
      <c r="X8" s="1" t="s">
        <v>23</v>
      </c>
      <c r="Y8" s="1" t="s">
        <v>24</v>
      </c>
      <c r="Z8" s="1" t="s">
        <v>25</v>
      </c>
      <c r="AA8" s="1" t="s">
        <v>26</v>
      </c>
      <c r="AB8" s="1" t="s">
        <v>27</v>
      </c>
      <c r="AC8" s="1" t="s">
        <v>28</v>
      </c>
      <c r="AD8" s="1" t="s">
        <v>29</v>
      </c>
      <c r="AE8" s="1" t="s">
        <v>30</v>
      </c>
      <c r="AF8" s="1" t="s">
        <v>31</v>
      </c>
      <c r="AG8" s="1" t="s">
        <v>32</v>
      </c>
      <c r="AH8" s="1" t="s">
        <v>33</v>
      </c>
      <c r="AI8" s="1" t="s">
        <v>34</v>
      </c>
      <c r="AJ8" s="1" t="s">
        <v>35</v>
      </c>
      <c r="AK8" s="1" t="s">
        <v>36</v>
      </c>
      <c r="AL8" s="1" t="s">
        <v>37</v>
      </c>
      <c r="AM8" s="1" t="s">
        <v>38</v>
      </c>
      <c r="AN8" s="1" t="s">
        <v>39</v>
      </c>
      <c r="AO8" s="1" t="s">
        <v>40</v>
      </c>
      <c r="AP8" s="1" t="s">
        <v>41</v>
      </c>
      <c r="AQ8" s="1" t="s">
        <v>42</v>
      </c>
      <c r="AR8" s="1" t="s">
        <v>43</v>
      </c>
      <c r="AS8" s="1" t="s">
        <v>44</v>
      </c>
      <c r="AT8" s="1" t="s">
        <v>45</v>
      </c>
      <c r="AU8" s="1" t="s">
        <v>46</v>
      </c>
      <c r="AV8" s="1" t="s">
        <v>47</v>
      </c>
      <c r="AW8" s="1" t="s">
        <v>48</v>
      </c>
      <c r="AX8" s="1" t="s">
        <v>49</v>
      </c>
      <c r="AY8" s="1" t="s">
        <v>50</v>
      </c>
      <c r="AZ8" s="1" t="s">
        <v>51</v>
      </c>
      <c r="BA8" s="1" t="s">
        <v>52</v>
      </c>
      <c r="BB8" s="1" t="s">
        <v>53</v>
      </c>
      <c r="BC8" s="1" t="s">
        <v>54</v>
      </c>
      <c r="BD8" s="1" t="s">
        <v>55</v>
      </c>
      <c r="BE8" s="1" t="s">
        <v>56</v>
      </c>
      <c r="BF8" s="1" t="s">
        <v>57</v>
      </c>
      <c r="BG8" s="1" t="s">
        <v>58</v>
      </c>
      <c r="BH8" s="1" t="s">
        <v>59</v>
      </c>
      <c r="BI8" s="1" t="s">
        <v>60</v>
      </c>
      <c r="BJ8" s="1" t="s">
        <v>61</v>
      </c>
      <c r="BK8" s="1" t="s">
        <v>62</v>
      </c>
      <c r="BL8" s="1" t="s">
        <v>63</v>
      </c>
      <c r="BM8" s="1" t="s">
        <v>64</v>
      </c>
      <c r="BN8" s="1" t="s">
        <v>65</v>
      </c>
      <c r="BO8" s="1" t="s">
        <v>66</v>
      </c>
      <c r="BP8" s="1" t="s">
        <v>67</v>
      </c>
      <c r="BQ8" s="1" t="s">
        <v>68</v>
      </c>
      <c r="BR8" s="1" t="s">
        <v>69</v>
      </c>
      <c r="BS8" s="1" t="s">
        <v>70</v>
      </c>
      <c r="BT8" s="1" t="s">
        <v>71</v>
      </c>
      <c r="BU8" s="1" t="s">
        <v>72</v>
      </c>
      <c r="BV8" s="1" t="s">
        <v>73</v>
      </c>
      <c r="BW8" s="1" t="s">
        <v>74</v>
      </c>
      <c r="BX8" s="1" t="s">
        <v>75</v>
      </c>
      <c r="BY8" s="1" t="s">
        <v>76</v>
      </c>
      <c r="BZ8" s="1" t="s">
        <v>77</v>
      </c>
      <c r="CA8" s="1" t="s">
        <v>78</v>
      </c>
      <c r="CB8" s="1" t="s">
        <v>79</v>
      </c>
      <c r="CC8" s="1" t="s">
        <v>80</v>
      </c>
      <c r="CD8" s="1" t="s">
        <v>81</v>
      </c>
      <c r="CE8" s="1" t="s">
        <v>82</v>
      </c>
      <c r="CF8" s="1" t="s">
        <v>83</v>
      </c>
      <c r="CG8" s="1" t="s">
        <v>84</v>
      </c>
      <c r="CH8" s="1" t="s">
        <v>85</v>
      </c>
      <c r="CI8" s="1" t="s">
        <v>86</v>
      </c>
      <c r="CJ8" s="1" t="s">
        <v>87</v>
      </c>
      <c r="CK8" s="1" t="s">
        <v>88</v>
      </c>
      <c r="CL8" s="1" t="s">
        <v>89</v>
      </c>
      <c r="CM8" s="1" t="s">
        <v>90</v>
      </c>
      <c r="CN8" s="1" t="s">
        <v>91</v>
      </c>
      <c r="CO8" s="1" t="s">
        <v>92</v>
      </c>
      <c r="CP8" s="1" t="s">
        <v>93</v>
      </c>
      <c r="CQ8" s="1" t="s">
        <v>94</v>
      </c>
      <c r="CR8" s="1" t="s">
        <v>95</v>
      </c>
      <c r="CS8" s="1" t="s">
        <v>96</v>
      </c>
      <c r="CT8" s="1" t="s">
        <v>97</v>
      </c>
      <c r="CU8" s="1" t="s">
        <v>98</v>
      </c>
      <c r="CV8" s="1" t="s">
        <v>99</v>
      </c>
      <c r="CW8" s="1" t="s">
        <v>100</v>
      </c>
      <c r="CX8" s="1" t="s">
        <v>101</v>
      </c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</row>
    <row r="9" spans="1:130">
      <c r="A9" s="4">
        <v>10</v>
      </c>
      <c r="B9" s="4">
        <v>3490</v>
      </c>
      <c r="C9" s="4">
        <v>2490</v>
      </c>
      <c r="D9" s="4">
        <v>443</v>
      </c>
      <c r="E9" s="4"/>
      <c r="F9" s="4"/>
      <c r="G9" s="4"/>
      <c r="H9" s="4"/>
      <c r="I9" s="4"/>
      <c r="J9" s="4"/>
      <c r="K9" s="5"/>
      <c r="L9" s="4" t="s">
        <v>110</v>
      </c>
      <c r="M9" s="8" t="s">
        <v>111</v>
      </c>
      <c r="N9" s="4"/>
      <c r="O9" s="8"/>
      <c r="P9" s="8"/>
      <c r="Q9" s="5">
        <v>912874</v>
      </c>
      <c r="R9" s="5">
        <v>191612.16</v>
      </c>
      <c r="S9" s="5">
        <v>0</v>
      </c>
      <c r="T9" s="5">
        <f>SUM(R9:S9)</f>
        <v>191612.16</v>
      </c>
      <c r="U9" s="5">
        <f>(T9-Q9)</f>
        <v>-721261.84</v>
      </c>
      <c r="V9" s="4" t="s">
        <v>112</v>
      </c>
      <c r="W9" s="5">
        <v>115150.58</v>
      </c>
      <c r="X9" s="5">
        <v>76461.58</v>
      </c>
      <c r="Y9" s="5">
        <f t="shared" ref="Y9:Y40" si="0">SUM(Z9:AK9)</f>
        <v>0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>
        <f t="shared" ref="AL9:AL40" si="1">SUM(AM9:AX9)</f>
        <v>0</v>
      </c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>
        <f t="shared" ref="AY9:AY40" si="2">SUM(AZ9:BK9)</f>
        <v>912874</v>
      </c>
      <c r="AZ9" s="5">
        <v>912874</v>
      </c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>
        <f t="shared" ref="BL9:BL40" si="3">SUM(BM9:BX9)</f>
        <v>0</v>
      </c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>
        <f t="shared" ref="BY9:BY40" si="4">SUM(BZ9:CK9)</f>
        <v>0</v>
      </c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>
        <f t="shared" ref="CL9:CL40" si="5">SUM(CM9:CX9)</f>
        <v>0</v>
      </c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</row>
    <row r="10" spans="1:130">
      <c r="A10" s="4">
        <v>10</v>
      </c>
      <c r="B10" s="4">
        <v>3490</v>
      </c>
      <c r="C10" s="4">
        <v>2490</v>
      </c>
      <c r="D10" s="4">
        <v>443</v>
      </c>
      <c r="E10" s="4">
        <v>-1</v>
      </c>
      <c r="F10" s="4"/>
      <c r="G10" s="4"/>
      <c r="H10" s="4"/>
      <c r="I10" s="4"/>
      <c r="J10" s="4"/>
      <c r="K10" s="5"/>
      <c r="L10" s="4" t="s">
        <v>113</v>
      </c>
      <c r="M10" s="8"/>
      <c r="N10" s="4"/>
      <c r="O10" s="8"/>
      <c r="P10" s="8"/>
      <c r="Q10" s="5"/>
      <c r="R10" s="5"/>
      <c r="S10" s="5"/>
      <c r="T10" s="5"/>
      <c r="U10" s="5"/>
      <c r="V10" s="4" t="s">
        <v>114</v>
      </c>
      <c r="W10" s="5"/>
      <c r="X10" s="5">
        <v>0</v>
      </c>
      <c r="Y10" s="5">
        <f t="shared" si="0"/>
        <v>0</v>
      </c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>
        <f t="shared" si="1"/>
        <v>0</v>
      </c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>
        <f t="shared" si="2"/>
        <v>0</v>
      </c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>
        <f t="shared" si="3"/>
        <v>0</v>
      </c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>
        <f t="shared" si="4"/>
        <v>0</v>
      </c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>
        <f t="shared" si="5"/>
        <v>0</v>
      </c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</row>
    <row r="11" spans="1:130" ht="26">
      <c r="A11" s="4">
        <v>20</v>
      </c>
      <c r="B11" s="4">
        <v>3490</v>
      </c>
      <c r="C11" s="4">
        <v>2490</v>
      </c>
      <c r="D11" s="4">
        <v>445</v>
      </c>
      <c r="E11" s="4"/>
      <c r="F11" s="4"/>
      <c r="G11" s="4"/>
      <c r="H11" s="4"/>
      <c r="I11" s="4"/>
      <c r="J11" s="4"/>
      <c r="K11" s="5"/>
      <c r="L11" s="4" t="s">
        <v>115</v>
      </c>
      <c r="M11" s="8" t="s">
        <v>116</v>
      </c>
      <c r="N11" s="4"/>
      <c r="O11" s="8"/>
      <c r="P11" s="8"/>
      <c r="Q11" s="5">
        <v>37843</v>
      </c>
      <c r="R11" s="5">
        <v>17697</v>
      </c>
      <c r="S11" s="5">
        <v>0</v>
      </c>
      <c r="T11" s="5">
        <f>SUM(R11:S11)</f>
        <v>17697</v>
      </c>
      <c r="U11" s="5">
        <f>(T11-Q11)</f>
        <v>-20146</v>
      </c>
      <c r="V11" s="4" t="s">
        <v>112</v>
      </c>
      <c r="W11" s="5">
        <v>17697</v>
      </c>
      <c r="X11" s="5">
        <v>0</v>
      </c>
      <c r="Y11" s="5">
        <f t="shared" si="0"/>
        <v>0</v>
      </c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>
        <f t="shared" si="1"/>
        <v>0</v>
      </c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>
        <f t="shared" si="2"/>
        <v>37843</v>
      </c>
      <c r="AZ11" s="5">
        <v>37843</v>
      </c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>
        <f t="shared" si="3"/>
        <v>0</v>
      </c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>
        <f t="shared" si="4"/>
        <v>0</v>
      </c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>
        <f t="shared" si="5"/>
        <v>0</v>
      </c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</row>
    <row r="12" spans="1:130">
      <c r="A12" s="4">
        <v>20</v>
      </c>
      <c r="B12" s="4">
        <v>3490</v>
      </c>
      <c r="C12" s="4">
        <v>2490</v>
      </c>
      <c r="D12" s="4">
        <v>445</v>
      </c>
      <c r="E12" s="4">
        <v>-1</v>
      </c>
      <c r="F12" s="4"/>
      <c r="G12" s="4"/>
      <c r="H12" s="4"/>
      <c r="I12" s="4"/>
      <c r="J12" s="4"/>
      <c r="K12" s="5"/>
      <c r="L12" s="4" t="s">
        <v>113</v>
      </c>
      <c r="M12" s="8"/>
      <c r="N12" s="4"/>
      <c r="O12" s="8"/>
      <c r="P12" s="8"/>
      <c r="Q12" s="5"/>
      <c r="R12" s="5"/>
      <c r="S12" s="5"/>
      <c r="T12" s="5"/>
      <c r="U12" s="5"/>
      <c r="V12" s="4" t="s">
        <v>114</v>
      </c>
      <c r="W12" s="5"/>
      <c r="X12" s="5">
        <v>0</v>
      </c>
      <c r="Y12" s="5">
        <f t="shared" si="0"/>
        <v>0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>
        <f t="shared" si="1"/>
        <v>0</v>
      </c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>
        <f t="shared" si="2"/>
        <v>0</v>
      </c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>
        <f t="shared" si="3"/>
        <v>0</v>
      </c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>
        <f t="shared" si="4"/>
        <v>0</v>
      </c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>
        <f t="shared" si="5"/>
        <v>0</v>
      </c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</row>
    <row r="13" spans="1:130">
      <c r="A13" s="4">
        <v>20</v>
      </c>
      <c r="B13" s="4">
        <v>3490</v>
      </c>
      <c r="C13" s="4">
        <v>2490</v>
      </c>
      <c r="D13" s="4">
        <v>445</v>
      </c>
      <c r="E13" s="4">
        <v>986309</v>
      </c>
      <c r="F13" s="4"/>
      <c r="G13" s="4"/>
      <c r="H13" s="4"/>
      <c r="I13" s="4"/>
      <c r="J13" s="4"/>
      <c r="K13" s="5"/>
      <c r="L13" s="4" t="s">
        <v>113</v>
      </c>
      <c r="M13" s="8"/>
      <c r="N13" s="4" t="s">
        <v>117</v>
      </c>
      <c r="O13" s="8" t="s">
        <v>118</v>
      </c>
      <c r="P13" s="8" t="s">
        <v>119</v>
      </c>
      <c r="Q13" s="5"/>
      <c r="R13" s="5">
        <v>17697</v>
      </c>
      <c r="S13" s="5"/>
      <c r="T13" s="5"/>
      <c r="U13" s="5"/>
      <c r="V13" s="4" t="s">
        <v>120</v>
      </c>
      <c r="W13" s="5"/>
      <c r="X13" s="5"/>
      <c r="Y13" s="5">
        <f t="shared" si="0"/>
        <v>0</v>
      </c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>
        <f t="shared" si="1"/>
        <v>0</v>
      </c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>
        <f t="shared" si="2"/>
        <v>0</v>
      </c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>
        <f t="shared" si="3"/>
        <v>17697</v>
      </c>
      <c r="BM13" s="5"/>
      <c r="BN13" s="5"/>
      <c r="BO13" s="5"/>
      <c r="BP13" s="5"/>
      <c r="BQ13" s="5">
        <v>15239.08</v>
      </c>
      <c r="BR13" s="5">
        <v>2457.92</v>
      </c>
      <c r="BS13" s="5"/>
      <c r="BT13" s="5"/>
      <c r="BU13" s="5"/>
      <c r="BV13" s="5"/>
      <c r="BW13" s="5"/>
      <c r="BX13" s="5"/>
      <c r="BY13" s="5">
        <f t="shared" si="4"/>
        <v>0</v>
      </c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>
        <f t="shared" si="5"/>
        <v>0</v>
      </c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</row>
    <row r="14" spans="1:130">
      <c r="A14" s="4">
        <v>20</v>
      </c>
      <c r="B14" s="4">
        <v>3490</v>
      </c>
      <c r="C14" s="4">
        <v>2490</v>
      </c>
      <c r="D14" s="4">
        <v>445</v>
      </c>
      <c r="E14" s="4">
        <v>986309</v>
      </c>
      <c r="F14" s="4"/>
      <c r="G14" s="4"/>
      <c r="H14" s="4"/>
      <c r="I14" s="4"/>
      <c r="J14" s="4"/>
      <c r="K14" s="5"/>
      <c r="L14" s="4" t="s">
        <v>113</v>
      </c>
      <c r="M14" s="8"/>
      <c r="N14" s="4" t="s">
        <v>117</v>
      </c>
      <c r="O14" s="8" t="s">
        <v>118</v>
      </c>
      <c r="P14" s="8" t="s">
        <v>119</v>
      </c>
      <c r="Q14" s="5"/>
      <c r="R14" s="5">
        <v>0</v>
      </c>
      <c r="S14" s="5"/>
      <c r="T14" s="5"/>
      <c r="U14" s="5"/>
      <c r="V14" s="4" t="s">
        <v>121</v>
      </c>
      <c r="W14" s="5">
        <v>17697</v>
      </c>
      <c r="X14" s="5"/>
      <c r="Y14" s="5">
        <f t="shared" si="0"/>
        <v>0</v>
      </c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>
        <f t="shared" si="1"/>
        <v>0</v>
      </c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>
        <f t="shared" si="2"/>
        <v>0</v>
      </c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>
        <f t="shared" si="3"/>
        <v>17697</v>
      </c>
      <c r="BM14" s="5"/>
      <c r="BN14" s="5"/>
      <c r="BO14" s="5"/>
      <c r="BP14" s="5"/>
      <c r="BQ14" s="5"/>
      <c r="BR14" s="5">
        <v>17697</v>
      </c>
      <c r="BS14" s="5"/>
      <c r="BT14" s="5"/>
      <c r="BU14" s="5"/>
      <c r="BV14" s="5"/>
      <c r="BW14" s="5"/>
      <c r="BX14" s="5"/>
      <c r="BY14" s="5">
        <f t="shared" si="4"/>
        <v>0</v>
      </c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>
        <f t="shared" si="5"/>
        <v>0</v>
      </c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</row>
    <row r="15" spans="1:130">
      <c r="A15" s="4">
        <v>30</v>
      </c>
      <c r="B15" s="4">
        <v>3490</v>
      </c>
      <c r="C15" s="4">
        <v>2490</v>
      </c>
      <c r="D15" s="4">
        <v>446</v>
      </c>
      <c r="E15" s="4"/>
      <c r="F15" s="4"/>
      <c r="G15" s="4"/>
      <c r="H15" s="4"/>
      <c r="I15" s="4"/>
      <c r="J15" s="4"/>
      <c r="K15" s="5"/>
      <c r="L15" s="4" t="s">
        <v>122</v>
      </c>
      <c r="M15" s="8" t="s">
        <v>123</v>
      </c>
      <c r="N15" s="4"/>
      <c r="O15" s="8"/>
      <c r="P15" s="8"/>
      <c r="Q15" s="5">
        <v>665031</v>
      </c>
      <c r="R15" s="5">
        <v>36572.379999999997</v>
      </c>
      <c r="S15" s="5">
        <v>0</v>
      </c>
      <c r="T15" s="5">
        <f>SUM(R15:S15)</f>
        <v>36572.379999999997</v>
      </c>
      <c r="U15" s="5">
        <f>(T15-Q15)</f>
        <v>-628458.62</v>
      </c>
      <c r="V15" s="4" t="s">
        <v>112</v>
      </c>
      <c r="W15" s="5">
        <v>36572.379999999997</v>
      </c>
      <c r="X15" s="5">
        <v>0</v>
      </c>
      <c r="Y15" s="5">
        <f t="shared" si="0"/>
        <v>0</v>
      </c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>
        <f t="shared" si="1"/>
        <v>0</v>
      </c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>
        <f t="shared" si="2"/>
        <v>665031</v>
      </c>
      <c r="AZ15" s="5">
        <v>665031</v>
      </c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>
        <f t="shared" si="3"/>
        <v>0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>
        <f t="shared" si="4"/>
        <v>0</v>
      </c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f t="shared" si="5"/>
        <v>0</v>
      </c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</row>
    <row r="16" spans="1:130">
      <c r="A16" s="4">
        <v>30</v>
      </c>
      <c r="B16" s="4">
        <v>3490</v>
      </c>
      <c r="C16" s="4">
        <v>2490</v>
      </c>
      <c r="D16" s="4">
        <v>446</v>
      </c>
      <c r="E16" s="4">
        <v>-1</v>
      </c>
      <c r="F16" s="4"/>
      <c r="G16" s="4"/>
      <c r="H16" s="4"/>
      <c r="I16" s="4"/>
      <c r="J16" s="4"/>
      <c r="K16" s="5"/>
      <c r="L16" s="4" t="s">
        <v>113</v>
      </c>
      <c r="M16" s="8"/>
      <c r="N16" s="4"/>
      <c r="O16" s="8"/>
      <c r="P16" s="8"/>
      <c r="Q16" s="5"/>
      <c r="R16" s="5"/>
      <c r="S16" s="5"/>
      <c r="T16" s="5"/>
      <c r="U16" s="5"/>
      <c r="V16" s="4" t="s">
        <v>114</v>
      </c>
      <c r="W16" s="5"/>
      <c r="X16" s="5">
        <v>0</v>
      </c>
      <c r="Y16" s="5">
        <f t="shared" si="0"/>
        <v>0</v>
      </c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>
        <f t="shared" si="1"/>
        <v>0</v>
      </c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>
        <f t="shared" si="2"/>
        <v>0</v>
      </c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>
        <f t="shared" si="3"/>
        <v>0</v>
      </c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>
        <f t="shared" si="4"/>
        <v>0</v>
      </c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>
        <f t="shared" si="5"/>
        <v>0</v>
      </c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</row>
    <row r="17" spans="1:130">
      <c r="A17" s="4">
        <v>30</v>
      </c>
      <c r="B17" s="4">
        <v>3490</v>
      </c>
      <c r="C17" s="4">
        <v>2490</v>
      </c>
      <c r="D17" s="4">
        <v>446</v>
      </c>
      <c r="E17" s="4">
        <v>986310</v>
      </c>
      <c r="F17" s="4"/>
      <c r="G17" s="4"/>
      <c r="H17" s="4"/>
      <c r="I17" s="4"/>
      <c r="J17" s="4"/>
      <c r="K17" s="5"/>
      <c r="L17" s="4" t="s">
        <v>113</v>
      </c>
      <c r="M17" s="8"/>
      <c r="N17" s="4" t="s">
        <v>124</v>
      </c>
      <c r="O17" s="8" t="s">
        <v>118</v>
      </c>
      <c r="P17" s="8" t="s">
        <v>125</v>
      </c>
      <c r="Q17" s="5"/>
      <c r="R17" s="5">
        <v>36572.379999999997</v>
      </c>
      <c r="S17" s="5"/>
      <c r="T17" s="5"/>
      <c r="U17" s="5"/>
      <c r="V17" s="4" t="s">
        <v>120</v>
      </c>
      <c r="W17" s="5"/>
      <c r="X17" s="5"/>
      <c r="Y17" s="5">
        <f t="shared" si="0"/>
        <v>0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>
        <f t="shared" si="1"/>
        <v>0</v>
      </c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>
        <f t="shared" si="2"/>
        <v>0</v>
      </c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>
        <f t="shared" si="3"/>
        <v>36572.379999999997</v>
      </c>
      <c r="BM17" s="5"/>
      <c r="BN17" s="5"/>
      <c r="BO17" s="5"/>
      <c r="BP17" s="5"/>
      <c r="BQ17" s="5">
        <v>18585.96</v>
      </c>
      <c r="BR17" s="5">
        <v>17986.419999999998</v>
      </c>
      <c r="BS17" s="5"/>
      <c r="BT17" s="5"/>
      <c r="BU17" s="5"/>
      <c r="BV17" s="5"/>
      <c r="BW17" s="5"/>
      <c r="BX17" s="5"/>
      <c r="BY17" s="5">
        <f t="shared" si="4"/>
        <v>0</v>
      </c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>
        <f t="shared" si="5"/>
        <v>0</v>
      </c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</row>
    <row r="18" spans="1:130">
      <c r="A18" s="4">
        <v>30</v>
      </c>
      <c r="B18" s="4">
        <v>3490</v>
      </c>
      <c r="C18" s="4">
        <v>2490</v>
      </c>
      <c r="D18" s="4">
        <v>446</v>
      </c>
      <c r="E18" s="4">
        <v>986310</v>
      </c>
      <c r="F18" s="4"/>
      <c r="G18" s="4"/>
      <c r="H18" s="4"/>
      <c r="I18" s="4"/>
      <c r="J18" s="4"/>
      <c r="K18" s="5"/>
      <c r="L18" s="4" t="s">
        <v>113</v>
      </c>
      <c r="M18" s="8"/>
      <c r="N18" s="4" t="s">
        <v>124</v>
      </c>
      <c r="O18" s="8" t="s">
        <v>118</v>
      </c>
      <c r="P18" s="8" t="s">
        <v>125</v>
      </c>
      <c r="Q18" s="5"/>
      <c r="R18" s="5">
        <v>0</v>
      </c>
      <c r="S18" s="5"/>
      <c r="T18" s="5"/>
      <c r="U18" s="5"/>
      <c r="V18" s="4" t="s">
        <v>121</v>
      </c>
      <c r="W18" s="5">
        <v>36572.379999999997</v>
      </c>
      <c r="X18" s="5"/>
      <c r="Y18" s="5">
        <f t="shared" si="0"/>
        <v>0</v>
      </c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>
        <f t="shared" si="1"/>
        <v>0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>
        <f t="shared" si="2"/>
        <v>0</v>
      </c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>
        <f t="shared" si="3"/>
        <v>36572.379999999997</v>
      </c>
      <c r="BM18" s="5"/>
      <c r="BN18" s="5"/>
      <c r="BO18" s="5"/>
      <c r="BP18" s="5"/>
      <c r="BQ18" s="5"/>
      <c r="BR18" s="5">
        <v>36572.379999999997</v>
      </c>
      <c r="BS18" s="5"/>
      <c r="BT18" s="5"/>
      <c r="BU18" s="5"/>
      <c r="BV18" s="5"/>
      <c r="BW18" s="5"/>
      <c r="BX18" s="5"/>
      <c r="BY18" s="5">
        <f t="shared" si="4"/>
        <v>0</v>
      </c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>
        <f t="shared" si="5"/>
        <v>0</v>
      </c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</row>
    <row r="19" spans="1:130">
      <c r="A19" s="4">
        <v>40</v>
      </c>
      <c r="B19" s="4">
        <v>3490</v>
      </c>
      <c r="C19" s="4">
        <v>2490</v>
      </c>
      <c r="D19" s="4">
        <v>447</v>
      </c>
      <c r="E19" s="4"/>
      <c r="F19" s="4"/>
      <c r="G19" s="4"/>
      <c r="H19" s="4"/>
      <c r="I19" s="4"/>
      <c r="J19" s="4"/>
      <c r="K19" s="5"/>
      <c r="L19" s="4" t="s">
        <v>126</v>
      </c>
      <c r="M19" s="8" t="s">
        <v>127</v>
      </c>
      <c r="N19" s="4"/>
      <c r="O19" s="8"/>
      <c r="P19" s="8"/>
      <c r="Q19" s="5">
        <v>210000</v>
      </c>
      <c r="R19" s="5">
        <v>137342.78</v>
      </c>
      <c r="S19" s="5">
        <v>0</v>
      </c>
      <c r="T19" s="5">
        <f>SUM(R19:S19)</f>
        <v>137342.78</v>
      </c>
      <c r="U19" s="5">
        <f>(T19-Q19)</f>
        <v>-72657.22</v>
      </c>
      <c r="V19" s="4" t="s">
        <v>112</v>
      </c>
      <c r="W19" s="5">
        <v>60881.2</v>
      </c>
      <c r="X19" s="5">
        <v>76461.58</v>
      </c>
      <c r="Y19" s="5">
        <f t="shared" si="0"/>
        <v>0</v>
      </c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>
        <f t="shared" si="1"/>
        <v>0</v>
      </c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>
        <f t="shared" si="2"/>
        <v>210000</v>
      </c>
      <c r="AZ19" s="5">
        <v>210000</v>
      </c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>
        <f t="shared" si="3"/>
        <v>0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>
        <f t="shared" si="4"/>
        <v>0</v>
      </c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>
        <f t="shared" si="5"/>
        <v>0</v>
      </c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</row>
    <row r="20" spans="1:130">
      <c r="A20" s="4">
        <v>40</v>
      </c>
      <c r="B20" s="4">
        <v>3490</v>
      </c>
      <c r="C20" s="4">
        <v>2490</v>
      </c>
      <c r="D20" s="4">
        <v>447</v>
      </c>
      <c r="E20" s="4">
        <v>-1</v>
      </c>
      <c r="F20" s="4"/>
      <c r="G20" s="4"/>
      <c r="H20" s="4"/>
      <c r="I20" s="4"/>
      <c r="J20" s="4"/>
      <c r="K20" s="5"/>
      <c r="L20" s="4" t="s">
        <v>113</v>
      </c>
      <c r="M20" s="8"/>
      <c r="N20" s="4"/>
      <c r="O20" s="8"/>
      <c r="P20" s="8"/>
      <c r="Q20" s="5"/>
      <c r="R20" s="5"/>
      <c r="S20" s="5"/>
      <c r="T20" s="5"/>
      <c r="U20" s="5"/>
      <c r="V20" s="4" t="s">
        <v>114</v>
      </c>
      <c r="W20" s="5"/>
      <c r="X20" s="5">
        <v>0</v>
      </c>
      <c r="Y20" s="5">
        <f t="shared" si="0"/>
        <v>0</v>
      </c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>
        <f t="shared" si="1"/>
        <v>0</v>
      </c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>
        <f t="shared" si="2"/>
        <v>0</v>
      </c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>
        <f t="shared" si="3"/>
        <v>0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>
        <f t="shared" si="4"/>
        <v>0</v>
      </c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>
        <f t="shared" si="5"/>
        <v>0</v>
      </c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</row>
    <row r="21" spans="1:130" ht="26">
      <c r="A21" s="4">
        <v>40</v>
      </c>
      <c r="B21" s="4">
        <v>3490</v>
      </c>
      <c r="C21" s="4">
        <v>2490</v>
      </c>
      <c r="D21" s="4">
        <v>447</v>
      </c>
      <c r="E21" s="4">
        <v>986341</v>
      </c>
      <c r="F21" s="4"/>
      <c r="G21" s="4"/>
      <c r="H21" s="4"/>
      <c r="I21" s="4"/>
      <c r="J21" s="4"/>
      <c r="K21" s="5"/>
      <c r="L21" s="4" t="s">
        <v>113</v>
      </c>
      <c r="M21" s="8"/>
      <c r="N21" s="4" t="s">
        <v>128</v>
      </c>
      <c r="O21" s="8" t="s">
        <v>118</v>
      </c>
      <c r="P21" s="8" t="s">
        <v>129</v>
      </c>
      <c r="Q21" s="5"/>
      <c r="R21" s="5">
        <v>94769.86</v>
      </c>
      <c r="S21" s="5"/>
      <c r="T21" s="5"/>
      <c r="U21" s="5"/>
      <c r="V21" s="4" t="s">
        <v>120</v>
      </c>
      <c r="W21" s="5"/>
      <c r="X21" s="5"/>
      <c r="Y21" s="5">
        <f t="shared" si="0"/>
        <v>0</v>
      </c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>
        <f t="shared" si="1"/>
        <v>0</v>
      </c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>
        <f t="shared" si="2"/>
        <v>0</v>
      </c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>
        <f t="shared" si="3"/>
        <v>36965.22</v>
      </c>
      <c r="BM21" s="5"/>
      <c r="BN21" s="5"/>
      <c r="BO21" s="5"/>
      <c r="BP21" s="5"/>
      <c r="BQ21" s="5"/>
      <c r="BR21" s="5">
        <v>36965.22</v>
      </c>
      <c r="BS21" s="5"/>
      <c r="BT21" s="5"/>
      <c r="BU21" s="5"/>
      <c r="BV21" s="5"/>
      <c r="BW21" s="5"/>
      <c r="BX21" s="5"/>
      <c r="BY21" s="5">
        <f t="shared" si="4"/>
        <v>57804.639999999999</v>
      </c>
      <c r="BZ21" s="5"/>
      <c r="CA21" s="5"/>
      <c r="CB21" s="5"/>
      <c r="CC21" s="5"/>
      <c r="CD21" s="5"/>
      <c r="CE21" s="5">
        <v>28428.51</v>
      </c>
      <c r="CF21" s="5">
        <v>29376.13</v>
      </c>
      <c r="CG21" s="5"/>
      <c r="CH21" s="5"/>
      <c r="CI21" s="5"/>
      <c r="CJ21" s="5"/>
      <c r="CK21" s="5"/>
      <c r="CL21" s="5">
        <f t="shared" si="5"/>
        <v>0</v>
      </c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</row>
    <row r="22" spans="1:130" ht="26">
      <c r="A22" s="4">
        <v>40</v>
      </c>
      <c r="B22" s="4">
        <v>3490</v>
      </c>
      <c r="C22" s="4">
        <v>2490</v>
      </c>
      <c r="D22" s="4">
        <v>447</v>
      </c>
      <c r="E22" s="4">
        <v>986341</v>
      </c>
      <c r="F22" s="4"/>
      <c r="G22" s="4"/>
      <c r="H22" s="4"/>
      <c r="I22" s="4"/>
      <c r="J22" s="4"/>
      <c r="K22" s="5"/>
      <c r="L22" s="4" t="s">
        <v>113</v>
      </c>
      <c r="M22" s="8"/>
      <c r="N22" s="4" t="s">
        <v>128</v>
      </c>
      <c r="O22" s="8" t="s">
        <v>118</v>
      </c>
      <c r="P22" s="8" t="s">
        <v>129</v>
      </c>
      <c r="Q22" s="5"/>
      <c r="R22" s="5">
        <v>0</v>
      </c>
      <c r="S22" s="5"/>
      <c r="T22" s="5"/>
      <c r="U22" s="5"/>
      <c r="V22" s="4" t="s">
        <v>121</v>
      </c>
      <c r="W22" s="5">
        <v>36965.22</v>
      </c>
      <c r="X22" s="5"/>
      <c r="Y22" s="5">
        <f t="shared" si="0"/>
        <v>0</v>
      </c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>
        <f t="shared" si="1"/>
        <v>0</v>
      </c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>
        <f t="shared" si="2"/>
        <v>0</v>
      </c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>
        <f t="shared" si="3"/>
        <v>36965.22</v>
      </c>
      <c r="BM22" s="5"/>
      <c r="BN22" s="5"/>
      <c r="BO22" s="5"/>
      <c r="BP22" s="5"/>
      <c r="BQ22" s="5"/>
      <c r="BR22" s="5">
        <v>36965.22</v>
      </c>
      <c r="BS22" s="5"/>
      <c r="BT22" s="5"/>
      <c r="BU22" s="5"/>
      <c r="BV22" s="5"/>
      <c r="BW22" s="5"/>
      <c r="BX22" s="5"/>
      <c r="BY22" s="5">
        <f t="shared" si="4"/>
        <v>0</v>
      </c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>
        <f t="shared" si="5"/>
        <v>0</v>
      </c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</row>
    <row r="23" spans="1:130" ht="26">
      <c r="A23" s="4">
        <v>40</v>
      </c>
      <c r="B23" s="4">
        <v>3490</v>
      </c>
      <c r="C23" s="4">
        <v>2490</v>
      </c>
      <c r="D23" s="4">
        <v>447</v>
      </c>
      <c r="E23" s="4">
        <v>986514</v>
      </c>
      <c r="F23" s="4"/>
      <c r="G23" s="4"/>
      <c r="H23" s="4"/>
      <c r="I23" s="4"/>
      <c r="J23" s="4"/>
      <c r="K23" s="5"/>
      <c r="L23" s="4" t="s">
        <v>113</v>
      </c>
      <c r="M23" s="8"/>
      <c r="N23" s="4" t="s">
        <v>130</v>
      </c>
      <c r="O23" s="8" t="s">
        <v>118</v>
      </c>
      <c r="P23" s="8" t="s">
        <v>131</v>
      </c>
      <c r="Q23" s="5"/>
      <c r="R23" s="5">
        <v>42572.92</v>
      </c>
      <c r="S23" s="5"/>
      <c r="T23" s="5"/>
      <c r="U23" s="5"/>
      <c r="V23" s="4" t="s">
        <v>120</v>
      </c>
      <c r="W23" s="5"/>
      <c r="X23" s="5"/>
      <c r="Y23" s="5">
        <f t="shared" si="0"/>
        <v>0</v>
      </c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>
        <f t="shared" si="1"/>
        <v>0</v>
      </c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>
        <f t="shared" si="2"/>
        <v>0</v>
      </c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f t="shared" si="3"/>
        <v>30134.959999999995</v>
      </c>
      <c r="BM23" s="5"/>
      <c r="BN23" s="5"/>
      <c r="BO23" s="5"/>
      <c r="BP23" s="5"/>
      <c r="BQ23" s="5"/>
      <c r="BR23" s="5">
        <v>3730.99</v>
      </c>
      <c r="BS23" s="5">
        <v>4448.49</v>
      </c>
      <c r="BT23" s="5">
        <v>4448.49</v>
      </c>
      <c r="BU23" s="5">
        <v>4304.99</v>
      </c>
      <c r="BV23" s="5">
        <v>4448.49</v>
      </c>
      <c r="BW23" s="5">
        <v>4304.99</v>
      </c>
      <c r="BX23" s="5">
        <v>4448.5200000000004</v>
      </c>
      <c r="BY23" s="5">
        <f t="shared" si="4"/>
        <v>12437.96</v>
      </c>
      <c r="BZ23" s="5">
        <v>1053.49</v>
      </c>
      <c r="CA23" s="5">
        <v>985.52</v>
      </c>
      <c r="CB23" s="5">
        <v>1053.49</v>
      </c>
      <c r="CC23" s="5">
        <v>1019.51</v>
      </c>
      <c r="CD23" s="5">
        <v>1053.49</v>
      </c>
      <c r="CE23" s="5">
        <v>1019.51</v>
      </c>
      <c r="CF23" s="5">
        <v>1053.49</v>
      </c>
      <c r="CG23" s="5">
        <v>1053.49</v>
      </c>
      <c r="CH23" s="5">
        <v>1019.51</v>
      </c>
      <c r="CI23" s="5">
        <v>1053.49</v>
      </c>
      <c r="CJ23" s="5">
        <v>1019.51</v>
      </c>
      <c r="CK23" s="5">
        <v>1053.46</v>
      </c>
      <c r="CL23" s="5">
        <f t="shared" si="5"/>
        <v>0</v>
      </c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</row>
    <row r="24" spans="1:130" ht="26">
      <c r="A24" s="4">
        <v>40</v>
      </c>
      <c r="B24" s="4">
        <v>3490</v>
      </c>
      <c r="C24" s="4">
        <v>2490</v>
      </c>
      <c r="D24" s="4">
        <v>447</v>
      </c>
      <c r="E24" s="4">
        <v>986514</v>
      </c>
      <c r="F24" s="4"/>
      <c r="G24" s="4"/>
      <c r="H24" s="4"/>
      <c r="I24" s="4"/>
      <c r="J24" s="4"/>
      <c r="K24" s="5"/>
      <c r="L24" s="4" t="s">
        <v>113</v>
      </c>
      <c r="M24" s="8"/>
      <c r="N24" s="4" t="s">
        <v>130</v>
      </c>
      <c r="O24" s="8" t="s">
        <v>118</v>
      </c>
      <c r="P24" s="8" t="s">
        <v>131</v>
      </c>
      <c r="Q24" s="5"/>
      <c r="R24" s="5">
        <v>0</v>
      </c>
      <c r="S24" s="5"/>
      <c r="T24" s="5"/>
      <c r="U24" s="5"/>
      <c r="V24" s="4" t="s">
        <v>121</v>
      </c>
      <c r="W24" s="5">
        <v>23915.98</v>
      </c>
      <c r="X24" s="5"/>
      <c r="Y24" s="5">
        <f t="shared" si="0"/>
        <v>0</v>
      </c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>
        <f t="shared" si="1"/>
        <v>0</v>
      </c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>
        <f t="shared" si="2"/>
        <v>0</v>
      </c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>
        <f t="shared" si="3"/>
        <v>23915.98</v>
      </c>
      <c r="BM24" s="5"/>
      <c r="BN24" s="5"/>
      <c r="BO24" s="5"/>
      <c r="BP24" s="5"/>
      <c r="BQ24" s="5"/>
      <c r="BR24" s="5">
        <v>23915.98</v>
      </c>
      <c r="BS24" s="5"/>
      <c r="BT24" s="5"/>
      <c r="BU24" s="5"/>
      <c r="BV24" s="5"/>
      <c r="BW24" s="5"/>
      <c r="BX24" s="5"/>
      <c r="BY24" s="5">
        <f t="shared" si="4"/>
        <v>0</v>
      </c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>
        <f t="shared" si="5"/>
        <v>0</v>
      </c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</row>
    <row r="25" spans="1:130">
      <c r="A25" s="4">
        <v>50</v>
      </c>
      <c r="B25" s="4">
        <v>3490</v>
      </c>
      <c r="C25" s="4">
        <v>2491</v>
      </c>
      <c r="D25" s="4">
        <v>448</v>
      </c>
      <c r="E25" s="4"/>
      <c r="F25" s="4"/>
      <c r="G25" s="4"/>
      <c r="H25" s="4"/>
      <c r="I25" s="4"/>
      <c r="J25" s="4"/>
      <c r="K25" s="5"/>
      <c r="L25" s="4" t="s">
        <v>102</v>
      </c>
      <c r="M25" s="8" t="s">
        <v>103</v>
      </c>
      <c r="N25" s="4"/>
      <c r="O25" s="8"/>
      <c r="P25" s="8"/>
      <c r="Q25" s="5">
        <v>9958491</v>
      </c>
      <c r="R25" s="5">
        <v>11100</v>
      </c>
      <c r="S25" s="5">
        <v>12066750.57</v>
      </c>
      <c r="T25" s="5">
        <f>SUM(R25:S25)</f>
        <v>12077850.57</v>
      </c>
      <c r="U25" s="5">
        <f>(T25-Q25)</f>
        <v>2119359.5700000003</v>
      </c>
      <c r="V25" s="4" t="s">
        <v>112</v>
      </c>
      <c r="W25" s="5">
        <v>11100</v>
      </c>
      <c r="X25" s="5">
        <v>12066750.57</v>
      </c>
      <c r="Y25" s="5">
        <f t="shared" si="0"/>
        <v>0</v>
      </c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>
        <f t="shared" si="1"/>
        <v>0</v>
      </c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>
        <f t="shared" si="2"/>
        <v>9958491</v>
      </c>
      <c r="AZ25" s="5">
        <v>9958491</v>
      </c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>
        <f t="shared" si="3"/>
        <v>0</v>
      </c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>
        <f t="shared" si="4"/>
        <v>0</v>
      </c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>
        <f t="shared" si="5"/>
        <v>0</v>
      </c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</row>
    <row r="26" spans="1:130">
      <c r="A26" s="4">
        <v>50</v>
      </c>
      <c r="B26" s="4">
        <v>3490</v>
      </c>
      <c r="C26" s="4">
        <v>2491</v>
      </c>
      <c r="D26" s="4">
        <v>448</v>
      </c>
      <c r="E26" s="4">
        <v>-1</v>
      </c>
      <c r="F26" s="4"/>
      <c r="G26" s="4"/>
      <c r="H26" s="4"/>
      <c r="I26" s="4"/>
      <c r="J26" s="4"/>
      <c r="K26" s="5"/>
      <c r="L26" s="4" t="s">
        <v>113</v>
      </c>
      <c r="M26" s="8"/>
      <c r="N26" s="4"/>
      <c r="O26" s="8"/>
      <c r="P26" s="8"/>
      <c r="Q26" s="5"/>
      <c r="R26" s="5"/>
      <c r="S26" s="5"/>
      <c r="T26" s="5"/>
      <c r="U26" s="5"/>
      <c r="V26" s="4" t="s">
        <v>114</v>
      </c>
      <c r="W26" s="5"/>
      <c r="X26" s="5">
        <v>12066750.57</v>
      </c>
      <c r="Y26" s="5">
        <f t="shared" si="0"/>
        <v>0</v>
      </c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>
        <f t="shared" si="1"/>
        <v>0</v>
      </c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>
        <f t="shared" si="2"/>
        <v>0</v>
      </c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>
        <f t="shared" si="3"/>
        <v>0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>
        <f t="shared" si="4"/>
        <v>0</v>
      </c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>
        <f t="shared" si="5"/>
        <v>0</v>
      </c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</row>
    <row r="27" spans="1:130">
      <c r="A27" s="4">
        <v>60</v>
      </c>
      <c r="B27" s="4">
        <v>3490</v>
      </c>
      <c r="C27" s="4">
        <v>2491</v>
      </c>
      <c r="D27" s="4">
        <v>449</v>
      </c>
      <c r="E27" s="4"/>
      <c r="F27" s="4"/>
      <c r="G27" s="4"/>
      <c r="H27" s="4"/>
      <c r="I27" s="4"/>
      <c r="J27" s="4"/>
      <c r="K27" s="5"/>
      <c r="L27" s="4" t="s">
        <v>132</v>
      </c>
      <c r="M27" s="8" t="s">
        <v>133</v>
      </c>
      <c r="N27" s="4"/>
      <c r="O27" s="8"/>
      <c r="P27" s="8"/>
      <c r="Q27" s="5">
        <v>9293460</v>
      </c>
      <c r="R27" s="5">
        <v>11100</v>
      </c>
      <c r="S27" s="5">
        <v>11803890.57</v>
      </c>
      <c r="T27" s="5">
        <f>SUM(R27:S27)</f>
        <v>11814990.57</v>
      </c>
      <c r="U27" s="5">
        <f>(T27-Q27)</f>
        <v>2521530.5700000003</v>
      </c>
      <c r="V27" s="4" t="s">
        <v>112</v>
      </c>
      <c r="W27" s="5">
        <v>11100</v>
      </c>
      <c r="X27" s="5">
        <v>11803890.57</v>
      </c>
      <c r="Y27" s="5">
        <f t="shared" si="0"/>
        <v>0</v>
      </c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>
        <f t="shared" si="1"/>
        <v>0</v>
      </c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f t="shared" si="2"/>
        <v>9293460</v>
      </c>
      <c r="AZ27" s="5">
        <v>9293460</v>
      </c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>
        <f t="shared" si="3"/>
        <v>0</v>
      </c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>
        <f t="shared" si="4"/>
        <v>0</v>
      </c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>
        <f t="shared" si="5"/>
        <v>0</v>
      </c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</row>
    <row r="28" spans="1:130">
      <c r="A28" s="4">
        <v>60</v>
      </c>
      <c r="B28" s="4">
        <v>3490</v>
      </c>
      <c r="C28" s="4">
        <v>2491</v>
      </c>
      <c r="D28" s="4">
        <v>449</v>
      </c>
      <c r="E28" s="4">
        <v>-1</v>
      </c>
      <c r="F28" s="4"/>
      <c r="G28" s="4"/>
      <c r="H28" s="4"/>
      <c r="I28" s="4"/>
      <c r="J28" s="4"/>
      <c r="K28" s="5"/>
      <c r="L28" s="4" t="s">
        <v>113</v>
      </c>
      <c r="M28" s="8"/>
      <c r="N28" s="4"/>
      <c r="O28" s="8"/>
      <c r="P28" s="8"/>
      <c r="Q28" s="5"/>
      <c r="R28" s="5"/>
      <c r="S28" s="5"/>
      <c r="T28" s="5"/>
      <c r="U28" s="5"/>
      <c r="V28" s="4" t="s">
        <v>114</v>
      </c>
      <c r="W28" s="5"/>
      <c r="X28" s="5">
        <v>11803890.57</v>
      </c>
      <c r="Y28" s="5">
        <f t="shared" si="0"/>
        <v>0</v>
      </c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>
        <f t="shared" si="1"/>
        <v>0</v>
      </c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>
        <f t="shared" si="2"/>
        <v>0</v>
      </c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>
        <f t="shared" si="3"/>
        <v>0</v>
      </c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>
        <f t="shared" si="4"/>
        <v>0</v>
      </c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>
        <f t="shared" si="5"/>
        <v>0</v>
      </c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</row>
    <row r="29" spans="1:130">
      <c r="A29" s="4">
        <v>70</v>
      </c>
      <c r="B29" s="4">
        <v>3490</v>
      </c>
      <c r="C29" s="4">
        <v>2491</v>
      </c>
      <c r="D29" s="4">
        <v>450</v>
      </c>
      <c r="E29" s="4"/>
      <c r="F29" s="4"/>
      <c r="G29" s="4"/>
      <c r="H29" s="4"/>
      <c r="I29" s="4"/>
      <c r="J29" s="4"/>
      <c r="K29" s="5"/>
      <c r="L29" s="4" t="s">
        <v>134</v>
      </c>
      <c r="M29" s="8" t="s">
        <v>135</v>
      </c>
      <c r="N29" s="4"/>
      <c r="O29" s="8"/>
      <c r="P29" s="8"/>
      <c r="Q29" s="5">
        <v>9293460</v>
      </c>
      <c r="R29" s="5">
        <v>11100</v>
      </c>
      <c r="S29" s="5">
        <v>11434481.689999999</v>
      </c>
      <c r="T29" s="5">
        <f>SUM(R29:S29)</f>
        <v>11445581.689999999</v>
      </c>
      <c r="U29" s="5">
        <f>(T29-Q29)</f>
        <v>2152121.6899999995</v>
      </c>
      <c r="V29" s="4" t="s">
        <v>112</v>
      </c>
      <c r="W29" s="5">
        <v>11100</v>
      </c>
      <c r="X29" s="5">
        <v>11434481.689999999</v>
      </c>
      <c r="Y29" s="5">
        <f t="shared" si="0"/>
        <v>0</v>
      </c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>
        <f t="shared" si="1"/>
        <v>0</v>
      </c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>
        <f t="shared" si="2"/>
        <v>9293460</v>
      </c>
      <c r="AZ29" s="5">
        <v>9293460</v>
      </c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>
        <f t="shared" si="3"/>
        <v>0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>
        <f t="shared" si="4"/>
        <v>0</v>
      </c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>
        <f t="shared" si="5"/>
        <v>0</v>
      </c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</row>
    <row r="30" spans="1:130">
      <c r="A30" s="4">
        <v>70</v>
      </c>
      <c r="B30" s="4">
        <v>3490</v>
      </c>
      <c r="C30" s="4">
        <v>2491</v>
      </c>
      <c r="D30" s="4">
        <v>450</v>
      </c>
      <c r="E30" s="4">
        <v>-1</v>
      </c>
      <c r="F30" s="4"/>
      <c r="G30" s="4"/>
      <c r="H30" s="4"/>
      <c r="I30" s="4"/>
      <c r="J30" s="4"/>
      <c r="K30" s="5"/>
      <c r="L30" s="4" t="s">
        <v>113</v>
      </c>
      <c r="M30" s="8"/>
      <c r="N30" s="4"/>
      <c r="O30" s="8"/>
      <c r="P30" s="8"/>
      <c r="Q30" s="5"/>
      <c r="R30" s="5"/>
      <c r="S30" s="5"/>
      <c r="T30" s="5"/>
      <c r="U30" s="5"/>
      <c r="V30" s="4" t="s">
        <v>114</v>
      </c>
      <c r="W30" s="5"/>
      <c r="X30" s="5">
        <v>11434481.689999999</v>
      </c>
      <c r="Y30" s="5">
        <f t="shared" si="0"/>
        <v>0</v>
      </c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>
        <f t="shared" si="1"/>
        <v>0</v>
      </c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>
        <f t="shared" si="2"/>
        <v>0</v>
      </c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f t="shared" si="3"/>
        <v>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>
        <f t="shared" si="4"/>
        <v>0</v>
      </c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>
        <f t="shared" si="5"/>
        <v>0</v>
      </c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</row>
    <row r="31" spans="1:130">
      <c r="A31" s="4">
        <v>140</v>
      </c>
      <c r="B31" s="4">
        <v>3490</v>
      </c>
      <c r="C31" s="4">
        <v>2491</v>
      </c>
      <c r="D31" s="4">
        <v>521</v>
      </c>
      <c r="E31" s="4"/>
      <c r="F31" s="4"/>
      <c r="G31" s="4"/>
      <c r="H31" s="4"/>
      <c r="I31" s="4"/>
      <c r="J31" s="4"/>
      <c r="K31" s="5"/>
      <c r="L31" s="4" t="s">
        <v>136</v>
      </c>
      <c r="M31" s="8" t="s">
        <v>137</v>
      </c>
      <c r="N31" s="4"/>
      <c r="O31" s="8"/>
      <c r="P31" s="8"/>
      <c r="Q31" s="5">
        <v>0</v>
      </c>
      <c r="R31" s="5">
        <v>11100</v>
      </c>
      <c r="S31" s="5">
        <v>0</v>
      </c>
      <c r="T31" s="5">
        <f>SUM(R31:S31)</f>
        <v>11100</v>
      </c>
      <c r="U31" s="5">
        <f>(T31-Q31)</f>
        <v>11100</v>
      </c>
      <c r="V31" s="4" t="s">
        <v>112</v>
      </c>
      <c r="W31" s="5">
        <v>11100</v>
      </c>
      <c r="X31" s="5">
        <v>0</v>
      </c>
      <c r="Y31" s="5">
        <f t="shared" si="0"/>
        <v>0</v>
      </c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>
        <f t="shared" si="1"/>
        <v>0</v>
      </c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>
        <f t="shared" si="2"/>
        <v>0</v>
      </c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>
        <f t="shared" si="3"/>
        <v>0</v>
      </c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>
        <f t="shared" si="4"/>
        <v>0</v>
      </c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>
        <f t="shared" si="5"/>
        <v>0</v>
      </c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</row>
    <row r="32" spans="1:130">
      <c r="A32" s="4">
        <v>140</v>
      </c>
      <c r="B32" s="4">
        <v>3490</v>
      </c>
      <c r="C32" s="4">
        <v>2491</v>
      </c>
      <c r="D32" s="4">
        <v>521</v>
      </c>
      <c r="E32" s="4">
        <v>-1</v>
      </c>
      <c r="F32" s="4"/>
      <c r="G32" s="4"/>
      <c r="H32" s="4"/>
      <c r="I32" s="4"/>
      <c r="J32" s="4"/>
      <c r="K32" s="5"/>
      <c r="L32" s="4" t="s">
        <v>113</v>
      </c>
      <c r="M32" s="8"/>
      <c r="N32" s="4"/>
      <c r="O32" s="8"/>
      <c r="P32" s="8"/>
      <c r="Q32" s="5"/>
      <c r="R32" s="5"/>
      <c r="S32" s="5"/>
      <c r="T32" s="5"/>
      <c r="U32" s="5"/>
      <c r="V32" s="4" t="s">
        <v>114</v>
      </c>
      <c r="W32" s="5"/>
      <c r="X32" s="5">
        <v>0</v>
      </c>
      <c r="Y32" s="5">
        <f t="shared" si="0"/>
        <v>0</v>
      </c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>
        <f t="shared" si="1"/>
        <v>0</v>
      </c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>
        <f t="shared" si="2"/>
        <v>0</v>
      </c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>
        <f t="shared" si="3"/>
        <v>0</v>
      </c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>
        <f t="shared" si="4"/>
        <v>0</v>
      </c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>
        <f t="shared" si="5"/>
        <v>0</v>
      </c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7"/>
      <c r="DQ32" s="7"/>
      <c r="DR32" s="7"/>
      <c r="DS32" s="7"/>
      <c r="DT32" s="7"/>
      <c r="DU32" s="7"/>
      <c r="DV32" s="7"/>
      <c r="DW32" s="7"/>
      <c r="DX32" s="7"/>
      <c r="DY32" s="7"/>
      <c r="DZ32" s="7"/>
    </row>
    <row r="33" spans="1:130">
      <c r="A33" s="4">
        <v>140</v>
      </c>
      <c r="B33" s="4">
        <v>3490</v>
      </c>
      <c r="C33" s="4">
        <v>2491</v>
      </c>
      <c r="D33" s="4">
        <v>521</v>
      </c>
      <c r="E33" s="4">
        <v>965767</v>
      </c>
      <c r="F33" s="4"/>
      <c r="G33" s="4"/>
      <c r="H33" s="4"/>
      <c r="I33" s="4"/>
      <c r="J33" s="4"/>
      <c r="K33" s="5"/>
      <c r="L33" s="4" t="s">
        <v>113</v>
      </c>
      <c r="M33" s="8"/>
      <c r="N33" s="4" t="s">
        <v>138</v>
      </c>
      <c r="O33" s="8" t="s">
        <v>139</v>
      </c>
      <c r="P33" s="8" t="s">
        <v>140</v>
      </c>
      <c r="Q33" s="5"/>
      <c r="R33" s="5">
        <v>11100</v>
      </c>
      <c r="S33" s="5"/>
      <c r="T33" s="5"/>
      <c r="U33" s="5"/>
      <c r="V33" s="4" t="s">
        <v>120</v>
      </c>
      <c r="W33" s="5"/>
      <c r="X33" s="5"/>
      <c r="Y33" s="5">
        <f t="shared" si="0"/>
        <v>0</v>
      </c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>
        <f t="shared" si="1"/>
        <v>0</v>
      </c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>
        <f t="shared" si="2"/>
        <v>11100</v>
      </c>
      <c r="AZ33" s="5"/>
      <c r="BA33" s="5"/>
      <c r="BB33" s="5"/>
      <c r="BC33" s="5"/>
      <c r="BD33" s="5"/>
      <c r="BE33" s="5"/>
      <c r="BF33" s="5">
        <v>11100</v>
      </c>
      <c r="BG33" s="5"/>
      <c r="BH33" s="5"/>
      <c r="BI33" s="5"/>
      <c r="BJ33" s="5"/>
      <c r="BK33" s="5"/>
      <c r="BL33" s="5">
        <f t="shared" si="3"/>
        <v>0</v>
      </c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>
        <f t="shared" si="4"/>
        <v>0</v>
      </c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>
        <f t="shared" si="5"/>
        <v>0</v>
      </c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7"/>
      <c r="CZ33" s="7"/>
      <c r="DA33" s="7"/>
      <c r="DB33" s="7"/>
      <c r="DC33" s="7"/>
      <c r="DD33" s="7"/>
      <c r="DE33" s="7"/>
      <c r="DF33" s="7"/>
      <c r="DG33" s="7"/>
      <c r="DH33" s="7"/>
      <c r="DI33" s="7"/>
      <c r="DJ33" s="7"/>
      <c r="DK33" s="7"/>
      <c r="DL33" s="7"/>
      <c r="DM33" s="7"/>
      <c r="DN33" s="7"/>
      <c r="DO33" s="7"/>
      <c r="DP33" s="7"/>
      <c r="DQ33" s="7"/>
      <c r="DR33" s="7"/>
      <c r="DS33" s="7"/>
      <c r="DT33" s="7"/>
      <c r="DU33" s="7"/>
      <c r="DV33" s="7"/>
      <c r="DW33" s="7"/>
      <c r="DX33" s="7"/>
      <c r="DY33" s="7"/>
      <c r="DZ33" s="7"/>
    </row>
    <row r="34" spans="1:130">
      <c r="A34" s="4">
        <v>140</v>
      </c>
      <c r="B34" s="4">
        <v>3490</v>
      </c>
      <c r="C34" s="4">
        <v>2491</v>
      </c>
      <c r="D34" s="4">
        <v>521</v>
      </c>
      <c r="E34" s="4">
        <v>965767</v>
      </c>
      <c r="F34" s="4"/>
      <c r="G34" s="4"/>
      <c r="H34" s="4"/>
      <c r="I34" s="4"/>
      <c r="J34" s="4"/>
      <c r="K34" s="5"/>
      <c r="L34" s="4" t="s">
        <v>113</v>
      </c>
      <c r="M34" s="8"/>
      <c r="N34" s="4" t="s">
        <v>138</v>
      </c>
      <c r="O34" s="8" t="s">
        <v>139</v>
      </c>
      <c r="P34" s="8" t="s">
        <v>140</v>
      </c>
      <c r="Q34" s="5"/>
      <c r="R34" s="5">
        <v>0</v>
      </c>
      <c r="S34" s="5"/>
      <c r="T34" s="5"/>
      <c r="U34" s="5"/>
      <c r="V34" s="4" t="s">
        <v>121</v>
      </c>
      <c r="W34" s="5">
        <v>11100</v>
      </c>
      <c r="X34" s="5"/>
      <c r="Y34" s="5">
        <f t="shared" si="0"/>
        <v>0</v>
      </c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>
        <f t="shared" si="1"/>
        <v>0</v>
      </c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>
        <f t="shared" si="2"/>
        <v>11100</v>
      </c>
      <c r="AZ34" s="5"/>
      <c r="BA34" s="5"/>
      <c r="BB34" s="5"/>
      <c r="BC34" s="5"/>
      <c r="BD34" s="5"/>
      <c r="BE34" s="5"/>
      <c r="BF34" s="5">
        <v>11100</v>
      </c>
      <c r="BG34" s="5"/>
      <c r="BH34" s="5"/>
      <c r="BI34" s="5"/>
      <c r="BJ34" s="5"/>
      <c r="BK34" s="5"/>
      <c r="BL34" s="5">
        <f t="shared" si="3"/>
        <v>0</v>
      </c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>
        <f t="shared" si="4"/>
        <v>0</v>
      </c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>
        <f t="shared" si="5"/>
        <v>0</v>
      </c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L34" s="7"/>
      <c r="DM34" s="7"/>
      <c r="DN34" s="7"/>
      <c r="DO34" s="7"/>
      <c r="DP34" s="7"/>
      <c r="DQ34" s="7"/>
      <c r="DR34" s="7"/>
      <c r="DS34" s="7"/>
      <c r="DT34" s="7"/>
      <c r="DU34" s="7"/>
      <c r="DV34" s="7"/>
      <c r="DW34" s="7"/>
      <c r="DX34" s="7"/>
      <c r="DY34" s="7"/>
      <c r="DZ34" s="7"/>
    </row>
    <row r="35" spans="1:130">
      <c r="A35" s="4">
        <v>150</v>
      </c>
      <c r="B35" s="4">
        <v>3490</v>
      </c>
      <c r="C35" s="4">
        <v>2491</v>
      </c>
      <c r="D35" s="4">
        <v>522</v>
      </c>
      <c r="E35" s="4"/>
      <c r="F35" s="4"/>
      <c r="G35" s="4"/>
      <c r="H35" s="4"/>
      <c r="I35" s="4"/>
      <c r="J35" s="4"/>
      <c r="K35" s="5"/>
      <c r="L35" s="4" t="s">
        <v>141</v>
      </c>
      <c r="M35" s="8" t="s">
        <v>142</v>
      </c>
      <c r="N35" s="4"/>
      <c r="O35" s="8"/>
      <c r="P35" s="8"/>
      <c r="Q35" s="5">
        <v>8993460</v>
      </c>
      <c r="R35" s="5">
        <v>0</v>
      </c>
      <c r="S35" s="5">
        <v>11434481.689999999</v>
      </c>
      <c r="T35" s="5">
        <f>SUM(R35:S35)</f>
        <v>11434481.689999999</v>
      </c>
      <c r="U35" s="5">
        <f>(T35-Q35)</f>
        <v>2441021.6899999995</v>
      </c>
      <c r="V35" s="4" t="s">
        <v>112</v>
      </c>
      <c r="W35" s="5">
        <v>0</v>
      </c>
      <c r="X35" s="5">
        <v>11434481.689999999</v>
      </c>
      <c r="Y35" s="5">
        <f t="shared" si="0"/>
        <v>0</v>
      </c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>
        <f t="shared" si="1"/>
        <v>0</v>
      </c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>
        <f t="shared" si="2"/>
        <v>8993460</v>
      </c>
      <c r="AZ35" s="5">
        <v>8993460</v>
      </c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>
        <f t="shared" si="3"/>
        <v>0</v>
      </c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>
        <f t="shared" si="4"/>
        <v>0</v>
      </c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>
        <f t="shared" si="5"/>
        <v>0</v>
      </c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7"/>
      <c r="CZ35" s="7"/>
      <c r="DA35" s="7"/>
      <c r="DB35" s="7"/>
      <c r="DC35" s="7"/>
      <c r="DD35" s="7"/>
      <c r="DE35" s="7"/>
      <c r="DF35" s="7"/>
      <c r="DG35" s="7"/>
      <c r="DH35" s="7"/>
      <c r="DI35" s="7"/>
      <c r="DJ35" s="7"/>
      <c r="DK35" s="7"/>
      <c r="DL35" s="7"/>
      <c r="DM35" s="7"/>
      <c r="DN35" s="7"/>
      <c r="DO35" s="7"/>
      <c r="DP35" s="7"/>
      <c r="DQ35" s="7"/>
      <c r="DR35" s="7"/>
      <c r="DS35" s="7"/>
      <c r="DT35" s="7"/>
      <c r="DU35" s="7"/>
      <c r="DV35" s="7"/>
      <c r="DW35" s="7"/>
      <c r="DX35" s="7"/>
      <c r="DY35" s="7"/>
      <c r="DZ35" s="7"/>
    </row>
    <row r="36" spans="1:130">
      <c r="A36" s="4">
        <v>150</v>
      </c>
      <c r="B36" s="4">
        <v>3490</v>
      </c>
      <c r="C36" s="4">
        <v>2491</v>
      </c>
      <c r="D36" s="4">
        <v>522</v>
      </c>
      <c r="E36" s="4">
        <v>-1</v>
      </c>
      <c r="F36" s="4"/>
      <c r="G36" s="4"/>
      <c r="H36" s="4"/>
      <c r="I36" s="4"/>
      <c r="J36" s="4"/>
      <c r="K36" s="5"/>
      <c r="L36" s="4" t="s">
        <v>113</v>
      </c>
      <c r="M36" s="8"/>
      <c r="N36" s="4"/>
      <c r="O36" s="8"/>
      <c r="P36" s="8"/>
      <c r="Q36" s="5"/>
      <c r="R36" s="5"/>
      <c r="S36" s="5"/>
      <c r="T36" s="5"/>
      <c r="U36" s="5"/>
      <c r="V36" s="4" t="s">
        <v>114</v>
      </c>
      <c r="W36" s="5"/>
      <c r="X36" s="5">
        <v>11434481.689999999</v>
      </c>
      <c r="Y36" s="5">
        <f t="shared" si="0"/>
        <v>0</v>
      </c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>
        <f t="shared" si="1"/>
        <v>0</v>
      </c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>
        <f t="shared" si="2"/>
        <v>0</v>
      </c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>
        <f t="shared" si="3"/>
        <v>4597763.6899999995</v>
      </c>
      <c r="BM36" s="5"/>
      <c r="BN36" s="5"/>
      <c r="BO36" s="5">
        <v>51799.69</v>
      </c>
      <c r="BP36" s="5">
        <v>154690</v>
      </c>
      <c r="BQ36" s="5">
        <v>255464</v>
      </c>
      <c r="BR36" s="5">
        <v>352711</v>
      </c>
      <c r="BS36" s="5">
        <v>445019</v>
      </c>
      <c r="BT36" s="5">
        <v>530977</v>
      </c>
      <c r="BU36" s="5">
        <v>609174</v>
      </c>
      <c r="BV36" s="5">
        <v>678199</v>
      </c>
      <c r="BW36" s="5">
        <v>736641</v>
      </c>
      <c r="BX36" s="5">
        <v>783089</v>
      </c>
      <c r="BY36" s="5">
        <f t="shared" si="4"/>
        <v>6836718</v>
      </c>
      <c r="BZ36" s="5">
        <v>816131</v>
      </c>
      <c r="CA36" s="5">
        <v>834357</v>
      </c>
      <c r="CB36" s="5">
        <v>836356</v>
      </c>
      <c r="CC36" s="5">
        <v>820717</v>
      </c>
      <c r="CD36" s="5">
        <v>786028</v>
      </c>
      <c r="CE36" s="5">
        <v>730878</v>
      </c>
      <c r="CF36" s="5">
        <v>653857</v>
      </c>
      <c r="CG36" s="5">
        <v>553553</v>
      </c>
      <c r="CH36" s="5">
        <v>428555</v>
      </c>
      <c r="CI36" s="5">
        <v>277452</v>
      </c>
      <c r="CJ36" s="5">
        <v>98834</v>
      </c>
      <c r="CK36" s="5"/>
      <c r="CL36" s="5">
        <f t="shared" si="5"/>
        <v>0</v>
      </c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7"/>
      <c r="CZ36" s="7"/>
      <c r="DA36" s="7"/>
      <c r="DB36" s="7"/>
      <c r="DC36" s="7"/>
      <c r="DD36" s="7"/>
      <c r="DE36" s="7"/>
      <c r="DF36" s="7"/>
      <c r="DG36" s="7"/>
      <c r="DH36" s="7"/>
      <c r="DI36" s="7"/>
      <c r="DJ36" s="7"/>
      <c r="DK36" s="7"/>
      <c r="DL36" s="7"/>
      <c r="DM36" s="7"/>
      <c r="DN36" s="7"/>
      <c r="DO36" s="7"/>
      <c r="DP36" s="7"/>
      <c r="DQ36" s="7"/>
      <c r="DR36" s="7"/>
      <c r="DS36" s="7"/>
      <c r="DT36" s="7"/>
      <c r="DU36" s="7"/>
      <c r="DV36" s="7"/>
      <c r="DW36" s="7"/>
      <c r="DX36" s="7"/>
      <c r="DY36" s="7"/>
      <c r="DZ36" s="7"/>
    </row>
    <row r="37" spans="1:130">
      <c r="A37" s="4">
        <v>220</v>
      </c>
      <c r="B37" s="4">
        <v>3490</v>
      </c>
      <c r="C37" s="4">
        <v>2491</v>
      </c>
      <c r="D37" s="4">
        <v>529</v>
      </c>
      <c r="E37" s="4"/>
      <c r="F37" s="4"/>
      <c r="G37" s="4"/>
      <c r="H37" s="4"/>
      <c r="I37" s="4"/>
      <c r="J37" s="4"/>
      <c r="K37" s="5"/>
      <c r="L37" s="4" t="s">
        <v>143</v>
      </c>
      <c r="M37" s="8" t="s">
        <v>144</v>
      </c>
      <c r="N37" s="4"/>
      <c r="O37" s="8"/>
      <c r="P37" s="8"/>
      <c r="Q37" s="5">
        <v>0</v>
      </c>
      <c r="R37" s="5">
        <v>0</v>
      </c>
      <c r="S37" s="5">
        <v>369408.88</v>
      </c>
      <c r="T37" s="5">
        <f>SUM(R37:S37)</f>
        <v>369408.88</v>
      </c>
      <c r="U37" s="5">
        <f>(T37-Q37)</f>
        <v>369408.88</v>
      </c>
      <c r="V37" s="4" t="s">
        <v>112</v>
      </c>
      <c r="W37" s="5">
        <v>0</v>
      </c>
      <c r="X37" s="5">
        <v>369408.88</v>
      </c>
      <c r="Y37" s="5">
        <f t="shared" si="0"/>
        <v>0</v>
      </c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>
        <f t="shared" si="1"/>
        <v>0</v>
      </c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>
        <f t="shared" si="2"/>
        <v>0</v>
      </c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>
        <f t="shared" si="3"/>
        <v>0</v>
      </c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>
        <f t="shared" si="4"/>
        <v>0</v>
      </c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>
        <f t="shared" si="5"/>
        <v>0</v>
      </c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7"/>
      <c r="CZ37" s="7"/>
      <c r="DA37" s="7"/>
      <c r="DB37" s="7"/>
      <c r="DC37" s="7"/>
      <c r="DD37" s="7"/>
      <c r="DE37" s="7"/>
      <c r="DF37" s="7"/>
      <c r="DG37" s="7"/>
      <c r="DH37" s="7"/>
      <c r="DI37" s="7"/>
      <c r="DJ37" s="7"/>
      <c r="DK37" s="7"/>
      <c r="DL37" s="7"/>
      <c r="DM37" s="7"/>
      <c r="DN37" s="7"/>
      <c r="DO37" s="7"/>
      <c r="DP37" s="7"/>
      <c r="DQ37" s="7"/>
      <c r="DR37" s="7"/>
      <c r="DS37" s="7"/>
      <c r="DT37" s="7"/>
      <c r="DU37" s="7"/>
      <c r="DV37" s="7"/>
      <c r="DW37" s="7"/>
      <c r="DX37" s="7"/>
      <c r="DY37" s="7"/>
      <c r="DZ37" s="7"/>
    </row>
    <row r="38" spans="1:130">
      <c r="A38" s="4">
        <v>220</v>
      </c>
      <c r="B38" s="4">
        <v>3490</v>
      </c>
      <c r="C38" s="4">
        <v>2491</v>
      </c>
      <c r="D38" s="4">
        <v>529</v>
      </c>
      <c r="E38" s="4">
        <v>-1</v>
      </c>
      <c r="F38" s="4"/>
      <c r="G38" s="4"/>
      <c r="H38" s="4"/>
      <c r="I38" s="4"/>
      <c r="J38" s="4"/>
      <c r="K38" s="5"/>
      <c r="L38" s="4" t="s">
        <v>113</v>
      </c>
      <c r="M38" s="8"/>
      <c r="N38" s="4"/>
      <c r="O38" s="8"/>
      <c r="P38" s="8"/>
      <c r="Q38" s="5"/>
      <c r="R38" s="5"/>
      <c r="S38" s="5"/>
      <c r="T38" s="5"/>
      <c r="U38" s="5"/>
      <c r="V38" s="4" t="s">
        <v>114</v>
      </c>
      <c r="W38" s="5"/>
      <c r="X38" s="5">
        <v>369408.88</v>
      </c>
      <c r="Y38" s="5">
        <f t="shared" si="0"/>
        <v>0</v>
      </c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>
        <f t="shared" si="1"/>
        <v>0</v>
      </c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>
        <f t="shared" si="2"/>
        <v>0</v>
      </c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>
        <f t="shared" si="3"/>
        <v>0</v>
      </c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>
        <f t="shared" si="4"/>
        <v>0</v>
      </c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>
        <f t="shared" si="5"/>
        <v>0</v>
      </c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7"/>
      <c r="DO38" s="7"/>
      <c r="DP38" s="7"/>
      <c r="DQ38" s="7"/>
      <c r="DR38" s="7"/>
      <c r="DS38" s="7"/>
      <c r="DT38" s="7"/>
      <c r="DU38" s="7"/>
      <c r="DV38" s="7"/>
      <c r="DW38" s="7"/>
      <c r="DX38" s="7"/>
      <c r="DY38" s="7"/>
      <c r="DZ38" s="7"/>
    </row>
    <row r="39" spans="1:130">
      <c r="A39" s="4">
        <v>230</v>
      </c>
      <c r="B39" s="4">
        <v>3490</v>
      </c>
      <c r="C39" s="4">
        <v>2491</v>
      </c>
      <c r="D39" s="4">
        <v>530</v>
      </c>
      <c r="E39" s="4"/>
      <c r="F39" s="4"/>
      <c r="G39" s="4"/>
      <c r="H39" s="4"/>
      <c r="I39" s="4"/>
      <c r="J39" s="4"/>
      <c r="K39" s="5"/>
      <c r="L39" s="4" t="s">
        <v>145</v>
      </c>
      <c r="M39" s="8" t="s">
        <v>146</v>
      </c>
      <c r="N39" s="4"/>
      <c r="O39" s="8"/>
      <c r="P39" s="8"/>
      <c r="Q39" s="5">
        <v>0</v>
      </c>
      <c r="R39" s="5">
        <v>0</v>
      </c>
      <c r="S39" s="5">
        <v>369408.88</v>
      </c>
      <c r="T39" s="5">
        <f>SUM(R39:S39)</f>
        <v>369408.88</v>
      </c>
      <c r="U39" s="5">
        <f>(T39-Q39)</f>
        <v>369408.88</v>
      </c>
      <c r="V39" s="4" t="s">
        <v>112</v>
      </c>
      <c r="W39" s="5">
        <v>0</v>
      </c>
      <c r="X39" s="5">
        <v>369408.88</v>
      </c>
      <c r="Y39" s="5">
        <f t="shared" si="0"/>
        <v>0</v>
      </c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>
        <f t="shared" si="1"/>
        <v>0</v>
      </c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>
        <f t="shared" si="2"/>
        <v>0</v>
      </c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>
        <f t="shared" si="3"/>
        <v>0</v>
      </c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>
        <f t="shared" si="4"/>
        <v>0</v>
      </c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>
        <f t="shared" si="5"/>
        <v>0</v>
      </c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7"/>
      <c r="CZ39" s="7"/>
      <c r="DA39" s="7"/>
      <c r="DB39" s="7"/>
      <c r="DC39" s="7"/>
      <c r="DD39" s="7"/>
      <c r="DE39" s="7"/>
      <c r="DF39" s="7"/>
      <c r="DG39" s="7"/>
      <c r="DH39" s="7"/>
      <c r="DI39" s="7"/>
      <c r="DJ39" s="7"/>
      <c r="DK39" s="7"/>
      <c r="DL39" s="7"/>
      <c r="DM39" s="7"/>
      <c r="DN39" s="7"/>
      <c r="DO39" s="7"/>
      <c r="DP39" s="7"/>
      <c r="DQ39" s="7"/>
      <c r="DR39" s="7"/>
      <c r="DS39" s="7"/>
      <c r="DT39" s="7"/>
      <c r="DU39" s="7"/>
      <c r="DV39" s="7"/>
      <c r="DW39" s="7"/>
      <c r="DX39" s="7"/>
      <c r="DY39" s="7"/>
      <c r="DZ39" s="7"/>
    </row>
    <row r="40" spans="1:130">
      <c r="A40" s="4">
        <v>230</v>
      </c>
      <c r="B40" s="4">
        <v>3490</v>
      </c>
      <c r="C40" s="4">
        <v>2491</v>
      </c>
      <c r="D40" s="4">
        <v>530</v>
      </c>
      <c r="E40" s="4">
        <v>-1</v>
      </c>
      <c r="F40" s="4"/>
      <c r="G40" s="4"/>
      <c r="H40" s="4"/>
      <c r="I40" s="4"/>
      <c r="J40" s="4"/>
      <c r="K40" s="5"/>
      <c r="L40" s="4" t="s">
        <v>113</v>
      </c>
      <c r="M40" s="8"/>
      <c r="N40" s="4"/>
      <c r="O40" s="8"/>
      <c r="P40" s="8"/>
      <c r="Q40" s="5"/>
      <c r="R40" s="5"/>
      <c r="S40" s="5"/>
      <c r="T40" s="5"/>
      <c r="U40" s="5"/>
      <c r="V40" s="4" t="s">
        <v>114</v>
      </c>
      <c r="W40" s="5"/>
      <c r="X40" s="5">
        <v>369408.88</v>
      </c>
      <c r="Y40" s="5">
        <f t="shared" si="0"/>
        <v>0</v>
      </c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>
        <f t="shared" si="1"/>
        <v>0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>
        <f t="shared" si="2"/>
        <v>0</v>
      </c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>
        <f t="shared" si="3"/>
        <v>369408.88</v>
      </c>
      <c r="BM40" s="5"/>
      <c r="BN40" s="5"/>
      <c r="BO40" s="5">
        <v>77530.259999999995</v>
      </c>
      <c r="BP40" s="5">
        <v>177863.54</v>
      </c>
      <c r="BQ40" s="5">
        <v>114015.08</v>
      </c>
      <c r="BR40" s="5"/>
      <c r="BS40" s="5"/>
      <c r="BT40" s="5"/>
      <c r="BU40" s="5"/>
      <c r="BV40" s="5"/>
      <c r="BW40" s="5"/>
      <c r="BX40" s="5"/>
      <c r="BY40" s="5">
        <f t="shared" si="4"/>
        <v>0</v>
      </c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>
        <f t="shared" si="5"/>
        <v>0</v>
      </c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7"/>
      <c r="CZ40" s="7"/>
      <c r="DA40" s="7"/>
      <c r="DB40" s="7"/>
      <c r="DC40" s="7"/>
      <c r="DD40" s="7"/>
      <c r="DE40" s="7"/>
      <c r="DF40" s="7"/>
      <c r="DG40" s="7"/>
      <c r="DH40" s="7"/>
      <c r="DI40" s="7"/>
      <c r="DJ40" s="7"/>
      <c r="DK40" s="7"/>
      <c r="DL40" s="7"/>
      <c r="DM40" s="7"/>
      <c r="DN40" s="7"/>
      <c r="DO40" s="7"/>
      <c r="DP40" s="7"/>
      <c r="DQ40" s="7"/>
      <c r="DR40" s="7"/>
      <c r="DS40" s="7"/>
      <c r="DT40" s="7"/>
      <c r="DU40" s="7"/>
      <c r="DV40" s="7"/>
      <c r="DW40" s="7"/>
      <c r="DX40" s="7"/>
      <c r="DY40" s="7"/>
      <c r="DZ40" s="7"/>
    </row>
    <row r="41" spans="1:130" ht="26">
      <c r="A41" s="4">
        <v>270</v>
      </c>
      <c r="B41" s="4">
        <v>3490</v>
      </c>
      <c r="C41" s="4">
        <v>2491</v>
      </c>
      <c r="D41" s="4">
        <v>534</v>
      </c>
      <c r="E41" s="4"/>
      <c r="F41" s="4"/>
      <c r="G41" s="4"/>
      <c r="H41" s="4"/>
      <c r="I41" s="4"/>
      <c r="J41" s="4"/>
      <c r="K41" s="5"/>
      <c r="L41" s="4" t="s">
        <v>147</v>
      </c>
      <c r="M41" s="8" t="s">
        <v>148</v>
      </c>
      <c r="N41" s="4"/>
      <c r="O41" s="8"/>
      <c r="P41" s="8"/>
      <c r="Q41" s="5">
        <v>665031</v>
      </c>
      <c r="R41" s="5">
        <v>0</v>
      </c>
      <c r="S41" s="5">
        <v>262860</v>
      </c>
      <c r="T41" s="5">
        <f>SUM(R41:S41)</f>
        <v>262860</v>
      </c>
      <c r="U41" s="5">
        <f>(T41-Q41)</f>
        <v>-402171</v>
      </c>
      <c r="V41" s="4" t="s">
        <v>112</v>
      </c>
      <c r="W41" s="5">
        <v>0</v>
      </c>
      <c r="X41" s="5">
        <v>262860</v>
      </c>
      <c r="Y41" s="5">
        <f t="shared" ref="Y41:Y72" si="6">SUM(Z41:AK41)</f>
        <v>0</v>
      </c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>
        <f t="shared" ref="AL41:AL72" si="7">SUM(AM41:AX41)</f>
        <v>0</v>
      </c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>
        <f t="shared" ref="AY41:AY72" si="8">SUM(AZ41:BK41)</f>
        <v>665031</v>
      </c>
      <c r="AZ41" s="5">
        <v>665031</v>
      </c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>
        <f t="shared" ref="BL41:BL72" si="9">SUM(BM41:BX41)</f>
        <v>0</v>
      </c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>
        <f t="shared" ref="BY41:BY72" si="10">SUM(BZ41:CK41)</f>
        <v>0</v>
      </c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>
        <f t="shared" ref="CL41:CL72" si="11">SUM(CM41:CX41)</f>
        <v>0</v>
      </c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7"/>
      <c r="CZ41" s="7"/>
      <c r="DA41" s="7"/>
      <c r="DB41" s="7"/>
      <c r="DC41" s="7"/>
      <c r="DD41" s="7"/>
      <c r="DE41" s="7"/>
      <c r="DF41" s="7"/>
      <c r="DG41" s="7"/>
      <c r="DH41" s="7"/>
      <c r="DI41" s="7"/>
      <c r="DJ41" s="7"/>
      <c r="DK41" s="7"/>
      <c r="DL41" s="7"/>
      <c r="DM41" s="7"/>
      <c r="DN41" s="7"/>
      <c r="DO41" s="7"/>
      <c r="DP41" s="7"/>
      <c r="DQ41" s="7"/>
      <c r="DR41" s="7"/>
      <c r="DS41" s="7"/>
      <c r="DT41" s="7"/>
      <c r="DU41" s="7"/>
      <c r="DV41" s="7"/>
      <c r="DW41" s="7"/>
      <c r="DX41" s="7"/>
      <c r="DY41" s="7"/>
      <c r="DZ41" s="7"/>
    </row>
    <row r="42" spans="1:130">
      <c r="A42" s="4">
        <v>270</v>
      </c>
      <c r="B42" s="4">
        <v>3490</v>
      </c>
      <c r="C42" s="4">
        <v>2491</v>
      </c>
      <c r="D42" s="4">
        <v>534</v>
      </c>
      <c r="E42" s="4">
        <v>-1</v>
      </c>
      <c r="F42" s="4"/>
      <c r="G42" s="4"/>
      <c r="H42" s="4"/>
      <c r="I42" s="4"/>
      <c r="J42" s="4"/>
      <c r="K42" s="5"/>
      <c r="L42" s="4" t="s">
        <v>113</v>
      </c>
      <c r="M42" s="8"/>
      <c r="N42" s="4"/>
      <c r="O42" s="8"/>
      <c r="P42" s="8"/>
      <c r="Q42" s="5"/>
      <c r="R42" s="5"/>
      <c r="S42" s="5"/>
      <c r="T42" s="5"/>
      <c r="U42" s="5"/>
      <c r="V42" s="4" t="s">
        <v>114</v>
      </c>
      <c r="W42" s="5"/>
      <c r="X42" s="5">
        <v>262860</v>
      </c>
      <c r="Y42" s="5">
        <f t="shared" si="6"/>
        <v>0</v>
      </c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>
        <f t="shared" si="7"/>
        <v>0</v>
      </c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>
        <f t="shared" si="8"/>
        <v>0</v>
      </c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>
        <f t="shared" si="9"/>
        <v>0</v>
      </c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>
        <f t="shared" si="10"/>
        <v>0</v>
      </c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>
        <f t="shared" si="11"/>
        <v>0</v>
      </c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7"/>
      <c r="CZ42" s="7"/>
      <c r="DA42" s="7"/>
      <c r="DB42" s="7"/>
      <c r="DC42" s="7"/>
      <c r="DD42" s="7"/>
      <c r="DE42" s="7"/>
      <c r="DF42" s="7"/>
      <c r="DG42" s="7"/>
      <c r="DH42" s="7"/>
      <c r="DI42" s="7"/>
      <c r="DJ42" s="7"/>
      <c r="DK42" s="7"/>
      <c r="DL42" s="7"/>
      <c r="DM42" s="7"/>
      <c r="DN42" s="7"/>
      <c r="DO42" s="7"/>
      <c r="DP42" s="7"/>
      <c r="DQ42" s="7"/>
      <c r="DR42" s="7"/>
      <c r="DS42" s="7"/>
      <c r="DT42" s="7"/>
      <c r="DU42" s="7"/>
      <c r="DV42" s="7"/>
      <c r="DW42" s="7"/>
      <c r="DX42" s="7"/>
      <c r="DY42" s="7"/>
      <c r="DZ42" s="7"/>
    </row>
    <row r="43" spans="1:130">
      <c r="A43" s="4">
        <v>280</v>
      </c>
      <c r="B43" s="4">
        <v>3490</v>
      </c>
      <c r="C43" s="4">
        <v>2491</v>
      </c>
      <c r="D43" s="4">
        <v>535</v>
      </c>
      <c r="E43" s="4"/>
      <c r="F43" s="4"/>
      <c r="G43" s="4"/>
      <c r="H43" s="4"/>
      <c r="I43" s="4"/>
      <c r="J43" s="4"/>
      <c r="K43" s="5"/>
      <c r="L43" s="4" t="s">
        <v>149</v>
      </c>
      <c r="M43" s="8" t="s">
        <v>150</v>
      </c>
      <c r="N43" s="4"/>
      <c r="O43" s="8"/>
      <c r="P43" s="8"/>
      <c r="Q43" s="5">
        <v>665031</v>
      </c>
      <c r="R43" s="5">
        <v>0</v>
      </c>
      <c r="S43" s="5">
        <v>132860</v>
      </c>
      <c r="T43" s="5">
        <f>SUM(R43:S43)</f>
        <v>132860</v>
      </c>
      <c r="U43" s="5">
        <f>(T43-Q43)</f>
        <v>-532171</v>
      </c>
      <c r="V43" s="4" t="s">
        <v>112</v>
      </c>
      <c r="W43" s="5">
        <v>0</v>
      </c>
      <c r="X43" s="5">
        <v>132860</v>
      </c>
      <c r="Y43" s="5">
        <f t="shared" si="6"/>
        <v>0</v>
      </c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>
        <f t="shared" si="7"/>
        <v>0</v>
      </c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>
        <f t="shared" si="8"/>
        <v>665031</v>
      </c>
      <c r="AZ43" s="5">
        <v>665031</v>
      </c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>
        <f t="shared" si="9"/>
        <v>0</v>
      </c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>
        <f t="shared" si="10"/>
        <v>0</v>
      </c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>
        <f t="shared" si="11"/>
        <v>0</v>
      </c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7"/>
      <c r="CZ43" s="7"/>
      <c r="DA43" s="7"/>
      <c r="DB43" s="7"/>
      <c r="DC43" s="7"/>
      <c r="DD43" s="7"/>
      <c r="DE43" s="7"/>
      <c r="DF43" s="7"/>
      <c r="DG43" s="7"/>
      <c r="DH43" s="7"/>
      <c r="DI43" s="7"/>
      <c r="DJ43" s="7"/>
      <c r="DK43" s="7"/>
      <c r="DL43" s="7"/>
      <c r="DM43" s="7"/>
      <c r="DN43" s="7"/>
      <c r="DO43" s="7"/>
      <c r="DP43" s="7"/>
      <c r="DQ43" s="7"/>
      <c r="DR43" s="7"/>
      <c r="DS43" s="7"/>
      <c r="DT43" s="7"/>
      <c r="DU43" s="7"/>
      <c r="DV43" s="7"/>
      <c r="DW43" s="7"/>
      <c r="DX43" s="7"/>
      <c r="DY43" s="7"/>
      <c r="DZ43" s="7"/>
    </row>
    <row r="44" spans="1:130">
      <c r="A44" s="4">
        <v>280</v>
      </c>
      <c r="B44" s="4">
        <v>3490</v>
      </c>
      <c r="C44" s="4">
        <v>2491</v>
      </c>
      <c r="D44" s="4">
        <v>535</v>
      </c>
      <c r="E44" s="4">
        <v>-1</v>
      </c>
      <c r="F44" s="4"/>
      <c r="G44" s="4"/>
      <c r="H44" s="4"/>
      <c r="I44" s="4"/>
      <c r="J44" s="4"/>
      <c r="K44" s="5"/>
      <c r="L44" s="4" t="s">
        <v>113</v>
      </c>
      <c r="M44" s="8"/>
      <c r="N44" s="4"/>
      <c r="O44" s="8"/>
      <c r="P44" s="8"/>
      <c r="Q44" s="5"/>
      <c r="R44" s="5"/>
      <c r="S44" s="5"/>
      <c r="T44" s="5"/>
      <c r="U44" s="5"/>
      <c r="V44" s="4" t="s">
        <v>114</v>
      </c>
      <c r="W44" s="5"/>
      <c r="X44" s="5">
        <v>132860</v>
      </c>
      <c r="Y44" s="5">
        <f t="shared" si="6"/>
        <v>0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>
        <f t="shared" si="7"/>
        <v>0</v>
      </c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>
        <f t="shared" si="8"/>
        <v>0</v>
      </c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>
        <f t="shared" si="9"/>
        <v>0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>
        <f t="shared" si="10"/>
        <v>0</v>
      </c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>
        <f t="shared" si="11"/>
        <v>0</v>
      </c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7"/>
      <c r="CZ44" s="7"/>
      <c r="DA44" s="7"/>
      <c r="DB44" s="7"/>
      <c r="DC44" s="7"/>
      <c r="DD44" s="7"/>
      <c r="DE44" s="7"/>
      <c r="DF44" s="7"/>
      <c r="DG44" s="7"/>
      <c r="DH44" s="7"/>
      <c r="DI44" s="7"/>
      <c r="DJ44" s="7"/>
      <c r="DK44" s="7"/>
      <c r="DL44" s="7"/>
      <c r="DM44" s="7"/>
      <c r="DN44" s="7"/>
      <c r="DO44" s="7"/>
      <c r="DP44" s="7"/>
      <c r="DQ44" s="7"/>
      <c r="DR44" s="7"/>
      <c r="DS44" s="7"/>
      <c r="DT44" s="7"/>
      <c r="DU44" s="7"/>
      <c r="DV44" s="7"/>
      <c r="DW44" s="7"/>
      <c r="DX44" s="7"/>
      <c r="DY44" s="7"/>
      <c r="DZ44" s="7"/>
    </row>
    <row r="45" spans="1:130">
      <c r="A45" s="4">
        <v>290</v>
      </c>
      <c r="B45" s="4">
        <v>3490</v>
      </c>
      <c r="C45" s="4">
        <v>2491</v>
      </c>
      <c r="D45" s="4">
        <v>536</v>
      </c>
      <c r="E45" s="4"/>
      <c r="F45" s="4"/>
      <c r="G45" s="4"/>
      <c r="H45" s="4"/>
      <c r="I45" s="4"/>
      <c r="J45" s="4"/>
      <c r="K45" s="5"/>
      <c r="L45" s="4" t="s">
        <v>151</v>
      </c>
      <c r="M45" s="8" t="s">
        <v>152</v>
      </c>
      <c r="N45" s="4"/>
      <c r="O45" s="8"/>
      <c r="P45" s="8"/>
      <c r="Q45" s="5">
        <v>665031</v>
      </c>
      <c r="R45" s="5">
        <v>0</v>
      </c>
      <c r="S45" s="5">
        <v>132860</v>
      </c>
      <c r="T45" s="5">
        <f>SUM(R45:S45)</f>
        <v>132860</v>
      </c>
      <c r="U45" s="5">
        <f>(T45-Q45)</f>
        <v>-532171</v>
      </c>
      <c r="V45" s="4" t="s">
        <v>112</v>
      </c>
      <c r="W45" s="5">
        <v>0</v>
      </c>
      <c r="X45" s="5">
        <v>132860</v>
      </c>
      <c r="Y45" s="5">
        <f t="shared" si="6"/>
        <v>0</v>
      </c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>
        <f t="shared" si="7"/>
        <v>0</v>
      </c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>
        <f t="shared" si="8"/>
        <v>665031</v>
      </c>
      <c r="AZ45" s="5">
        <v>665031</v>
      </c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>
        <f t="shared" si="9"/>
        <v>0</v>
      </c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>
        <f t="shared" si="10"/>
        <v>0</v>
      </c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>
        <f t="shared" si="11"/>
        <v>0</v>
      </c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7"/>
      <c r="CZ45" s="7"/>
      <c r="DA45" s="7"/>
      <c r="DB45" s="7"/>
      <c r="DC45" s="7"/>
      <c r="DD45" s="7"/>
      <c r="DE45" s="7"/>
      <c r="DF45" s="7"/>
      <c r="DG45" s="7"/>
      <c r="DH45" s="7"/>
      <c r="DI45" s="7"/>
      <c r="DJ45" s="7"/>
      <c r="DK45" s="7"/>
      <c r="DL45" s="7"/>
      <c r="DM45" s="7"/>
      <c r="DN45" s="7"/>
      <c r="DO45" s="7"/>
      <c r="DP45" s="7"/>
      <c r="DQ45" s="7"/>
      <c r="DR45" s="7"/>
      <c r="DS45" s="7"/>
      <c r="DT45" s="7"/>
      <c r="DU45" s="7"/>
      <c r="DV45" s="7"/>
      <c r="DW45" s="7"/>
      <c r="DX45" s="7"/>
      <c r="DY45" s="7"/>
      <c r="DZ45" s="7"/>
    </row>
    <row r="46" spans="1:130">
      <c r="A46" s="4">
        <v>290</v>
      </c>
      <c r="B46" s="4">
        <v>3490</v>
      </c>
      <c r="C46" s="4">
        <v>2491</v>
      </c>
      <c r="D46" s="4">
        <v>536</v>
      </c>
      <c r="E46" s="4">
        <v>-1</v>
      </c>
      <c r="F46" s="4"/>
      <c r="G46" s="4"/>
      <c r="H46" s="4"/>
      <c r="I46" s="4"/>
      <c r="J46" s="4"/>
      <c r="K46" s="5"/>
      <c r="L46" s="4" t="s">
        <v>113</v>
      </c>
      <c r="M46" s="8"/>
      <c r="N46" s="4"/>
      <c r="O46" s="8"/>
      <c r="P46" s="8"/>
      <c r="Q46" s="5"/>
      <c r="R46" s="5"/>
      <c r="S46" s="5"/>
      <c r="T46" s="5"/>
      <c r="U46" s="5"/>
      <c r="V46" s="4" t="s">
        <v>114</v>
      </c>
      <c r="W46" s="5"/>
      <c r="X46" s="5">
        <v>132860</v>
      </c>
      <c r="Y46" s="5">
        <f t="shared" si="6"/>
        <v>0</v>
      </c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>
        <f t="shared" si="7"/>
        <v>0</v>
      </c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>
        <f t="shared" si="8"/>
        <v>0</v>
      </c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>
        <f t="shared" si="9"/>
        <v>132860</v>
      </c>
      <c r="BM46" s="5"/>
      <c r="BN46" s="5"/>
      <c r="BO46" s="5">
        <v>44286.67</v>
      </c>
      <c r="BP46" s="5">
        <v>44286.67</v>
      </c>
      <c r="BQ46" s="5">
        <v>44286.66</v>
      </c>
      <c r="BR46" s="5"/>
      <c r="BS46" s="5"/>
      <c r="BT46" s="5"/>
      <c r="BU46" s="5"/>
      <c r="BV46" s="5"/>
      <c r="BW46" s="5"/>
      <c r="BX46" s="5"/>
      <c r="BY46" s="5">
        <f t="shared" si="10"/>
        <v>0</v>
      </c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>
        <f t="shared" si="11"/>
        <v>0</v>
      </c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7"/>
      <c r="CZ46" s="7"/>
      <c r="DA46" s="7"/>
      <c r="DB46" s="7"/>
      <c r="DC46" s="7"/>
      <c r="DD46" s="7"/>
      <c r="DE46" s="7"/>
      <c r="DF46" s="7"/>
      <c r="DG46" s="7"/>
      <c r="DH46" s="7"/>
      <c r="DI46" s="7"/>
      <c r="DJ46" s="7"/>
      <c r="DK46" s="7"/>
      <c r="DL46" s="7"/>
      <c r="DM46" s="7"/>
      <c r="DN46" s="7"/>
      <c r="DO46" s="7"/>
      <c r="DP46" s="7"/>
      <c r="DQ46" s="7"/>
      <c r="DR46" s="7"/>
      <c r="DS46" s="7"/>
      <c r="DT46" s="7"/>
      <c r="DU46" s="7"/>
      <c r="DV46" s="7"/>
      <c r="DW46" s="7"/>
      <c r="DX46" s="7"/>
      <c r="DY46" s="7"/>
      <c r="DZ46" s="7"/>
    </row>
    <row r="47" spans="1:130">
      <c r="A47" s="4">
        <v>300</v>
      </c>
      <c r="B47" s="4">
        <v>3490</v>
      </c>
      <c r="C47" s="4">
        <v>2491</v>
      </c>
      <c r="D47" s="4">
        <v>537</v>
      </c>
      <c r="E47" s="4"/>
      <c r="F47" s="4"/>
      <c r="G47" s="4"/>
      <c r="H47" s="4"/>
      <c r="I47" s="4"/>
      <c r="J47" s="4"/>
      <c r="K47" s="5"/>
      <c r="L47" s="4" t="s">
        <v>153</v>
      </c>
      <c r="M47" s="8" t="s">
        <v>154</v>
      </c>
      <c r="N47" s="4"/>
      <c r="O47" s="8"/>
      <c r="P47" s="8"/>
      <c r="Q47" s="5">
        <v>0</v>
      </c>
      <c r="R47" s="5">
        <v>0</v>
      </c>
      <c r="S47" s="5">
        <v>130000</v>
      </c>
      <c r="T47" s="5">
        <f>SUM(R47:S47)</f>
        <v>130000</v>
      </c>
      <c r="U47" s="5">
        <f>(T47-Q47)</f>
        <v>130000</v>
      </c>
      <c r="V47" s="4" t="s">
        <v>112</v>
      </c>
      <c r="W47" s="5">
        <v>0</v>
      </c>
      <c r="X47" s="5">
        <v>130000</v>
      </c>
      <c r="Y47" s="5">
        <f t="shared" si="6"/>
        <v>0</v>
      </c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>
        <f t="shared" si="7"/>
        <v>0</v>
      </c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>
        <f t="shared" si="8"/>
        <v>0</v>
      </c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>
        <f t="shared" si="9"/>
        <v>0</v>
      </c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>
        <f t="shared" si="10"/>
        <v>0</v>
      </c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>
        <f t="shared" si="11"/>
        <v>0</v>
      </c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7"/>
      <c r="CZ47" s="7"/>
      <c r="DA47" s="7"/>
      <c r="DB47" s="7"/>
      <c r="DC47" s="7"/>
      <c r="DD47" s="7"/>
      <c r="DE47" s="7"/>
      <c r="DF47" s="7"/>
      <c r="DG47" s="7"/>
      <c r="DH47" s="7"/>
      <c r="DI47" s="7"/>
      <c r="DJ47" s="7"/>
      <c r="DK47" s="7"/>
      <c r="DL47" s="7"/>
      <c r="DM47" s="7"/>
      <c r="DN47" s="7"/>
      <c r="DO47" s="7"/>
      <c r="DP47" s="7"/>
      <c r="DQ47" s="7"/>
      <c r="DR47" s="7"/>
      <c r="DS47" s="7"/>
      <c r="DT47" s="7"/>
      <c r="DU47" s="7"/>
      <c r="DV47" s="7"/>
      <c r="DW47" s="7"/>
      <c r="DX47" s="7"/>
      <c r="DY47" s="7"/>
      <c r="DZ47" s="7"/>
    </row>
    <row r="48" spans="1:130">
      <c r="A48" s="4">
        <v>300</v>
      </c>
      <c r="B48" s="4">
        <v>3490</v>
      </c>
      <c r="C48" s="4">
        <v>2491</v>
      </c>
      <c r="D48" s="4">
        <v>537</v>
      </c>
      <c r="E48" s="4">
        <v>-1</v>
      </c>
      <c r="F48" s="4"/>
      <c r="G48" s="4"/>
      <c r="H48" s="4"/>
      <c r="I48" s="4"/>
      <c r="J48" s="4"/>
      <c r="K48" s="5"/>
      <c r="L48" s="4" t="s">
        <v>113</v>
      </c>
      <c r="M48" s="8"/>
      <c r="N48" s="4"/>
      <c r="O48" s="8"/>
      <c r="P48" s="8"/>
      <c r="Q48" s="5"/>
      <c r="R48" s="5"/>
      <c r="S48" s="5"/>
      <c r="T48" s="5"/>
      <c r="U48" s="5"/>
      <c r="V48" s="4" t="s">
        <v>114</v>
      </c>
      <c r="W48" s="5"/>
      <c r="X48" s="5">
        <v>130000</v>
      </c>
      <c r="Y48" s="5">
        <f t="shared" si="6"/>
        <v>0</v>
      </c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>
        <f t="shared" si="7"/>
        <v>0</v>
      </c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>
        <f t="shared" si="8"/>
        <v>0</v>
      </c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>
        <f t="shared" si="9"/>
        <v>0</v>
      </c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>
        <f t="shared" si="10"/>
        <v>0</v>
      </c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>
        <f t="shared" si="11"/>
        <v>0</v>
      </c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7"/>
      <c r="CZ48" s="7"/>
      <c r="DA48" s="7"/>
      <c r="DB48" s="7"/>
      <c r="DC48" s="7"/>
      <c r="DD48" s="7"/>
      <c r="DE48" s="7"/>
      <c r="DF48" s="7"/>
      <c r="DG48" s="7"/>
      <c r="DH48" s="7"/>
      <c r="DI48" s="7"/>
      <c r="DJ48" s="7"/>
      <c r="DK48" s="7"/>
      <c r="DL48" s="7"/>
      <c r="DM48" s="7"/>
      <c r="DN48" s="7"/>
      <c r="DO48" s="7"/>
      <c r="DP48" s="7"/>
      <c r="DQ48" s="7"/>
      <c r="DR48" s="7"/>
      <c r="DS48" s="7"/>
      <c r="DT48" s="7"/>
      <c r="DU48" s="7"/>
      <c r="DV48" s="7"/>
      <c r="DW48" s="7"/>
      <c r="DX48" s="7"/>
      <c r="DY48" s="7"/>
      <c r="DZ48" s="7"/>
    </row>
    <row r="49" spans="1:130">
      <c r="A49" s="4">
        <v>310</v>
      </c>
      <c r="B49" s="4">
        <v>3490</v>
      </c>
      <c r="C49" s="4">
        <v>2491</v>
      </c>
      <c r="D49" s="4">
        <v>538</v>
      </c>
      <c r="E49" s="4"/>
      <c r="F49" s="4"/>
      <c r="G49" s="4"/>
      <c r="H49" s="4"/>
      <c r="I49" s="4"/>
      <c r="J49" s="4"/>
      <c r="K49" s="5"/>
      <c r="L49" s="4" t="s">
        <v>155</v>
      </c>
      <c r="M49" s="8" t="s">
        <v>156</v>
      </c>
      <c r="N49" s="4"/>
      <c r="O49" s="8"/>
      <c r="P49" s="8"/>
      <c r="Q49" s="5">
        <v>0</v>
      </c>
      <c r="R49" s="5">
        <v>0</v>
      </c>
      <c r="S49" s="5">
        <v>130000</v>
      </c>
      <c r="T49" s="5">
        <f>SUM(R49:S49)</f>
        <v>130000</v>
      </c>
      <c r="U49" s="5">
        <f>(T49-Q49)</f>
        <v>130000</v>
      </c>
      <c r="V49" s="4" t="s">
        <v>112</v>
      </c>
      <c r="W49" s="5">
        <v>0</v>
      </c>
      <c r="X49" s="5">
        <v>130000</v>
      </c>
      <c r="Y49" s="5">
        <f t="shared" si="6"/>
        <v>0</v>
      </c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>
        <f t="shared" si="7"/>
        <v>0</v>
      </c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>
        <f t="shared" si="8"/>
        <v>0</v>
      </c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>
        <f t="shared" si="9"/>
        <v>0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>
        <f t="shared" si="10"/>
        <v>0</v>
      </c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>
        <f t="shared" si="11"/>
        <v>0</v>
      </c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7"/>
      <c r="CZ49" s="7"/>
      <c r="DA49" s="7"/>
      <c r="DB49" s="7"/>
      <c r="DC49" s="7"/>
      <c r="DD49" s="7"/>
      <c r="DE49" s="7"/>
      <c r="DF49" s="7"/>
      <c r="DG49" s="7"/>
      <c r="DH49" s="7"/>
      <c r="DI49" s="7"/>
      <c r="DJ49" s="7"/>
      <c r="DK49" s="7"/>
      <c r="DL49" s="7"/>
      <c r="DM49" s="7"/>
      <c r="DN49" s="7"/>
      <c r="DO49" s="7"/>
      <c r="DP49" s="7"/>
      <c r="DQ49" s="7"/>
      <c r="DR49" s="7"/>
      <c r="DS49" s="7"/>
      <c r="DT49" s="7"/>
      <c r="DU49" s="7"/>
      <c r="DV49" s="7"/>
      <c r="DW49" s="7"/>
      <c r="DX49" s="7"/>
      <c r="DY49" s="7"/>
      <c r="DZ49" s="7"/>
    </row>
    <row r="50" spans="1:130">
      <c r="A50" s="4">
        <v>310</v>
      </c>
      <c r="B50" s="4">
        <v>3490</v>
      </c>
      <c r="C50" s="4">
        <v>2491</v>
      </c>
      <c r="D50" s="4">
        <v>538</v>
      </c>
      <c r="E50" s="4">
        <v>-1</v>
      </c>
      <c r="F50" s="4"/>
      <c r="G50" s="4"/>
      <c r="H50" s="4"/>
      <c r="I50" s="4"/>
      <c r="J50" s="4"/>
      <c r="K50" s="5"/>
      <c r="L50" s="4" t="s">
        <v>113</v>
      </c>
      <c r="M50" s="8"/>
      <c r="N50" s="4"/>
      <c r="O50" s="8"/>
      <c r="P50" s="8"/>
      <c r="Q50" s="5"/>
      <c r="R50" s="5"/>
      <c r="S50" s="5"/>
      <c r="T50" s="5"/>
      <c r="U50" s="5"/>
      <c r="V50" s="4" t="s">
        <v>114</v>
      </c>
      <c r="W50" s="5"/>
      <c r="X50" s="5">
        <v>130000</v>
      </c>
      <c r="Y50" s="5">
        <f t="shared" si="6"/>
        <v>0</v>
      </c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>
        <f t="shared" si="7"/>
        <v>0</v>
      </c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>
        <f t="shared" si="8"/>
        <v>0</v>
      </c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>
        <f t="shared" si="9"/>
        <v>130000</v>
      </c>
      <c r="BM50" s="5"/>
      <c r="BN50" s="5"/>
      <c r="BO50" s="5">
        <v>43333.33</v>
      </c>
      <c r="BP50" s="5">
        <v>43333.33</v>
      </c>
      <c r="BQ50" s="5">
        <v>43333.34</v>
      </c>
      <c r="BR50" s="5"/>
      <c r="BS50" s="5"/>
      <c r="BT50" s="5"/>
      <c r="BU50" s="5"/>
      <c r="BV50" s="5"/>
      <c r="BW50" s="5"/>
      <c r="BX50" s="5"/>
      <c r="BY50" s="5">
        <f t="shared" si="10"/>
        <v>0</v>
      </c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>
        <f t="shared" si="11"/>
        <v>0</v>
      </c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7"/>
      <c r="CZ50" s="7"/>
      <c r="DA50" s="7"/>
      <c r="DB50" s="7"/>
      <c r="DC50" s="7"/>
      <c r="DD50" s="7"/>
      <c r="DE50" s="7"/>
      <c r="DF50" s="7"/>
      <c r="DG50" s="7"/>
      <c r="DH50" s="7"/>
      <c r="DI50" s="7"/>
      <c r="DJ50" s="7"/>
      <c r="DK50" s="7"/>
      <c r="DL50" s="7"/>
      <c r="DM50" s="7"/>
      <c r="DN50" s="7"/>
      <c r="DO50" s="7"/>
      <c r="DP50" s="7"/>
      <c r="DQ50" s="7"/>
      <c r="DR50" s="7"/>
      <c r="DS50" s="7"/>
      <c r="DT50" s="7"/>
      <c r="DU50" s="7"/>
      <c r="DV50" s="7"/>
      <c r="DW50" s="7"/>
      <c r="DX50" s="7"/>
      <c r="DY50" s="7"/>
      <c r="DZ50" s="7"/>
    </row>
    <row r="51" spans="1:130">
      <c r="A51" s="4">
        <v>330</v>
      </c>
      <c r="B51" s="4">
        <v>3490</v>
      </c>
      <c r="C51" s="4">
        <v>2492</v>
      </c>
      <c r="D51" s="4">
        <v>451</v>
      </c>
      <c r="E51" s="4"/>
      <c r="F51" s="4"/>
      <c r="G51" s="4"/>
      <c r="H51" s="4"/>
      <c r="I51" s="4"/>
      <c r="J51" s="4"/>
      <c r="K51" s="5"/>
      <c r="L51" s="4" t="s">
        <v>104</v>
      </c>
      <c r="M51" s="8" t="s">
        <v>105</v>
      </c>
      <c r="N51" s="4"/>
      <c r="O51" s="8"/>
      <c r="P51" s="8"/>
      <c r="Q51" s="5">
        <v>193170</v>
      </c>
      <c r="R51" s="5">
        <v>1350</v>
      </c>
      <c r="S51" s="5">
        <v>0</v>
      </c>
      <c r="T51" s="5">
        <f>SUM(R51:S51)</f>
        <v>1350</v>
      </c>
      <c r="U51" s="5">
        <f>(T51-Q51)</f>
        <v>-191820</v>
      </c>
      <c r="V51" s="4" t="s">
        <v>112</v>
      </c>
      <c r="W51" s="5">
        <v>0</v>
      </c>
      <c r="X51" s="5">
        <v>1350</v>
      </c>
      <c r="Y51" s="5">
        <f t="shared" si="6"/>
        <v>0</v>
      </c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>
        <f t="shared" si="7"/>
        <v>0</v>
      </c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>
        <f t="shared" si="8"/>
        <v>193170</v>
      </c>
      <c r="AZ51" s="5">
        <v>193170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>
        <f t="shared" si="9"/>
        <v>0</v>
      </c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>
        <f t="shared" si="10"/>
        <v>0</v>
      </c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>
        <f t="shared" si="11"/>
        <v>0</v>
      </c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7"/>
      <c r="CZ51" s="7"/>
      <c r="DA51" s="7"/>
      <c r="DB51" s="7"/>
      <c r="DC51" s="7"/>
      <c r="DD51" s="7"/>
      <c r="DE51" s="7"/>
      <c r="DF51" s="7"/>
      <c r="DG51" s="7"/>
      <c r="DH51" s="7"/>
      <c r="DI51" s="7"/>
      <c r="DJ51" s="7"/>
      <c r="DK51" s="7"/>
      <c r="DL51" s="7"/>
      <c r="DM51" s="7"/>
      <c r="DN51" s="7"/>
      <c r="DO51" s="7"/>
      <c r="DP51" s="7"/>
      <c r="DQ51" s="7"/>
      <c r="DR51" s="7"/>
      <c r="DS51" s="7"/>
      <c r="DT51" s="7"/>
      <c r="DU51" s="7"/>
      <c r="DV51" s="7"/>
      <c r="DW51" s="7"/>
      <c r="DX51" s="7"/>
      <c r="DY51" s="7"/>
      <c r="DZ51" s="7"/>
    </row>
    <row r="52" spans="1:130">
      <c r="A52" s="4">
        <v>330</v>
      </c>
      <c r="B52" s="4">
        <v>3490</v>
      </c>
      <c r="C52" s="4">
        <v>2492</v>
      </c>
      <c r="D52" s="4">
        <v>451</v>
      </c>
      <c r="E52" s="4">
        <v>-1</v>
      </c>
      <c r="F52" s="4"/>
      <c r="G52" s="4"/>
      <c r="H52" s="4"/>
      <c r="I52" s="4"/>
      <c r="J52" s="4"/>
      <c r="K52" s="5"/>
      <c r="L52" s="4" t="s">
        <v>113</v>
      </c>
      <c r="M52" s="8"/>
      <c r="N52" s="4"/>
      <c r="O52" s="8"/>
      <c r="P52" s="8"/>
      <c r="Q52" s="5"/>
      <c r="R52" s="5"/>
      <c r="S52" s="5"/>
      <c r="T52" s="5"/>
      <c r="U52" s="5"/>
      <c r="V52" s="4" t="s">
        <v>114</v>
      </c>
      <c r="W52" s="5"/>
      <c r="X52" s="5">
        <v>0</v>
      </c>
      <c r="Y52" s="5">
        <f t="shared" si="6"/>
        <v>0</v>
      </c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>
        <f t="shared" si="7"/>
        <v>0</v>
      </c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>
        <f t="shared" si="8"/>
        <v>0</v>
      </c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>
        <f t="shared" si="9"/>
        <v>0</v>
      </c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>
        <f t="shared" si="10"/>
        <v>0</v>
      </c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>
        <f t="shared" si="11"/>
        <v>0</v>
      </c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7"/>
      <c r="CZ52" s="7"/>
      <c r="DA52" s="7"/>
      <c r="DB52" s="7"/>
      <c r="DC52" s="7"/>
      <c r="DD52" s="7"/>
      <c r="DE52" s="7"/>
      <c r="DF52" s="7"/>
      <c r="DG52" s="7"/>
      <c r="DH52" s="7"/>
      <c r="DI52" s="7"/>
      <c r="DJ52" s="7"/>
      <c r="DK52" s="7"/>
      <c r="DL52" s="7"/>
      <c r="DM52" s="7"/>
      <c r="DN52" s="7"/>
      <c r="DO52" s="7"/>
      <c r="DP52" s="7"/>
      <c r="DQ52" s="7"/>
      <c r="DR52" s="7"/>
      <c r="DS52" s="7"/>
      <c r="DT52" s="7"/>
      <c r="DU52" s="7"/>
      <c r="DV52" s="7"/>
      <c r="DW52" s="7"/>
      <c r="DX52" s="7"/>
      <c r="DY52" s="7"/>
      <c r="DZ52" s="7"/>
    </row>
    <row r="53" spans="1:130">
      <c r="A53" s="4">
        <v>400</v>
      </c>
      <c r="B53" s="4">
        <v>3490</v>
      </c>
      <c r="C53" s="4">
        <v>2492</v>
      </c>
      <c r="D53" s="4">
        <v>455</v>
      </c>
      <c r="E53" s="4"/>
      <c r="F53" s="4"/>
      <c r="G53" s="4"/>
      <c r="H53" s="4"/>
      <c r="I53" s="4"/>
      <c r="J53" s="4"/>
      <c r="K53" s="5"/>
      <c r="L53" s="4" t="s">
        <v>157</v>
      </c>
      <c r="M53" s="8" t="s">
        <v>158</v>
      </c>
      <c r="N53" s="4"/>
      <c r="O53" s="8"/>
      <c r="P53" s="8"/>
      <c r="Q53" s="5">
        <v>64390</v>
      </c>
      <c r="R53" s="5">
        <v>1350</v>
      </c>
      <c r="S53" s="5">
        <v>0</v>
      </c>
      <c r="T53" s="5">
        <f>SUM(R53:S53)</f>
        <v>1350</v>
      </c>
      <c r="U53" s="5">
        <f>(T53-Q53)</f>
        <v>-63040</v>
      </c>
      <c r="V53" s="4" t="s">
        <v>112</v>
      </c>
      <c r="W53" s="5">
        <v>0</v>
      </c>
      <c r="X53" s="5">
        <v>1350</v>
      </c>
      <c r="Y53" s="5">
        <f t="shared" si="6"/>
        <v>0</v>
      </c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>
        <f t="shared" si="7"/>
        <v>0</v>
      </c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>
        <f t="shared" si="8"/>
        <v>64390</v>
      </c>
      <c r="AZ53" s="5">
        <v>64390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>
        <f t="shared" si="9"/>
        <v>0</v>
      </c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>
        <f t="shared" si="10"/>
        <v>0</v>
      </c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>
        <f t="shared" si="11"/>
        <v>0</v>
      </c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7"/>
      <c r="CZ53" s="7"/>
      <c r="DA53" s="7"/>
      <c r="DB53" s="7"/>
      <c r="DC53" s="7"/>
      <c r="DD53" s="7"/>
      <c r="DE53" s="7"/>
      <c r="DF53" s="7"/>
      <c r="DG53" s="7"/>
      <c r="DH53" s="7"/>
      <c r="DI53" s="7"/>
      <c r="DJ53" s="7"/>
      <c r="DK53" s="7"/>
      <c r="DL53" s="7"/>
      <c r="DM53" s="7"/>
      <c r="DN53" s="7"/>
      <c r="DO53" s="7"/>
      <c r="DP53" s="7"/>
      <c r="DQ53" s="7"/>
      <c r="DR53" s="7"/>
      <c r="DS53" s="7"/>
      <c r="DT53" s="7"/>
      <c r="DU53" s="7"/>
      <c r="DV53" s="7"/>
      <c r="DW53" s="7"/>
      <c r="DX53" s="7"/>
      <c r="DY53" s="7"/>
      <c r="DZ53" s="7"/>
    </row>
    <row r="54" spans="1:130">
      <c r="A54" s="4">
        <v>400</v>
      </c>
      <c r="B54" s="4">
        <v>3490</v>
      </c>
      <c r="C54" s="4">
        <v>2492</v>
      </c>
      <c r="D54" s="4">
        <v>455</v>
      </c>
      <c r="E54" s="4">
        <v>-1</v>
      </c>
      <c r="F54" s="4"/>
      <c r="G54" s="4"/>
      <c r="H54" s="4"/>
      <c r="I54" s="4"/>
      <c r="J54" s="4"/>
      <c r="K54" s="5"/>
      <c r="L54" s="4" t="s">
        <v>113</v>
      </c>
      <c r="M54" s="8"/>
      <c r="N54" s="4"/>
      <c r="O54" s="8"/>
      <c r="P54" s="8"/>
      <c r="Q54" s="5"/>
      <c r="R54" s="5"/>
      <c r="S54" s="5"/>
      <c r="T54" s="5"/>
      <c r="U54" s="5"/>
      <c r="V54" s="4" t="s">
        <v>114</v>
      </c>
      <c r="W54" s="5"/>
      <c r="X54" s="5">
        <v>0</v>
      </c>
      <c r="Y54" s="5">
        <f t="shared" si="6"/>
        <v>0</v>
      </c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>
        <f t="shared" si="7"/>
        <v>0</v>
      </c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>
        <f t="shared" si="8"/>
        <v>0</v>
      </c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>
        <f t="shared" si="9"/>
        <v>0</v>
      </c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>
        <f t="shared" si="10"/>
        <v>0</v>
      </c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>
        <f t="shared" si="11"/>
        <v>0</v>
      </c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7"/>
      <c r="CZ54" s="7"/>
      <c r="DA54" s="7"/>
      <c r="DB54" s="7"/>
      <c r="DC54" s="7"/>
      <c r="DD54" s="7"/>
      <c r="DE54" s="7"/>
      <c r="DF54" s="7"/>
      <c r="DG54" s="7"/>
      <c r="DH54" s="7"/>
      <c r="DI54" s="7"/>
      <c r="DJ54" s="7"/>
      <c r="DK54" s="7"/>
      <c r="DL54" s="7"/>
      <c r="DM54" s="7"/>
      <c r="DN54" s="7"/>
      <c r="DO54" s="7"/>
      <c r="DP54" s="7"/>
      <c r="DQ54" s="7"/>
      <c r="DR54" s="7"/>
      <c r="DS54" s="7"/>
      <c r="DT54" s="7"/>
      <c r="DU54" s="7"/>
      <c r="DV54" s="7"/>
      <c r="DW54" s="7"/>
      <c r="DX54" s="7"/>
      <c r="DY54" s="7"/>
      <c r="DZ54" s="7"/>
    </row>
    <row r="55" spans="1:130" ht="26">
      <c r="A55" s="4">
        <v>400</v>
      </c>
      <c r="B55" s="4">
        <v>3490</v>
      </c>
      <c r="C55" s="4">
        <v>2492</v>
      </c>
      <c r="D55" s="4">
        <v>455</v>
      </c>
      <c r="E55" s="4">
        <v>983985</v>
      </c>
      <c r="F55" s="4"/>
      <c r="G55" s="4"/>
      <c r="H55" s="4"/>
      <c r="I55" s="4"/>
      <c r="J55" s="4"/>
      <c r="K55" s="5"/>
      <c r="L55" s="4" t="s">
        <v>113</v>
      </c>
      <c r="M55" s="8"/>
      <c r="N55" s="4" t="s">
        <v>159</v>
      </c>
      <c r="O55" s="8" t="s">
        <v>160</v>
      </c>
      <c r="P55" s="8" t="s">
        <v>161</v>
      </c>
      <c r="Q55" s="5"/>
      <c r="R55" s="5">
        <v>1350</v>
      </c>
      <c r="S55" s="5"/>
      <c r="T55" s="5"/>
      <c r="U55" s="5"/>
      <c r="V55" s="4" t="s">
        <v>120</v>
      </c>
      <c r="W55" s="5"/>
      <c r="X55" s="5"/>
      <c r="Y55" s="5">
        <f t="shared" si="6"/>
        <v>0</v>
      </c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>
        <f t="shared" si="7"/>
        <v>0</v>
      </c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>
        <f t="shared" si="8"/>
        <v>0</v>
      </c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>
        <f t="shared" si="9"/>
        <v>1350.0000000000002</v>
      </c>
      <c r="BM55" s="5"/>
      <c r="BN55" s="5"/>
      <c r="BO55" s="5"/>
      <c r="BP55" s="5">
        <v>147.27000000000001</v>
      </c>
      <c r="BQ55" s="5">
        <v>152.18</v>
      </c>
      <c r="BR55" s="5">
        <v>147.27000000000001</v>
      </c>
      <c r="BS55" s="5">
        <v>152.18</v>
      </c>
      <c r="BT55" s="5">
        <v>152.18</v>
      </c>
      <c r="BU55" s="5">
        <v>147.27000000000001</v>
      </c>
      <c r="BV55" s="5">
        <v>152.18</v>
      </c>
      <c r="BW55" s="5">
        <v>147.27000000000001</v>
      </c>
      <c r="BX55" s="5">
        <v>152.19999999999999</v>
      </c>
      <c r="BY55" s="5">
        <f t="shared" si="10"/>
        <v>0</v>
      </c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>
        <f t="shared" si="11"/>
        <v>0</v>
      </c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7"/>
      <c r="CZ55" s="7"/>
      <c r="DA55" s="7"/>
      <c r="DB55" s="7"/>
      <c r="DC55" s="7"/>
      <c r="DD55" s="7"/>
      <c r="DE55" s="7"/>
      <c r="DF55" s="7"/>
      <c r="DG55" s="7"/>
      <c r="DH55" s="7"/>
      <c r="DI55" s="7"/>
      <c r="DJ55" s="7"/>
      <c r="DK55" s="7"/>
      <c r="DL55" s="7"/>
      <c r="DM55" s="7"/>
      <c r="DN55" s="7"/>
      <c r="DO55" s="7"/>
      <c r="DP55" s="7"/>
      <c r="DQ55" s="7"/>
      <c r="DR55" s="7"/>
      <c r="DS55" s="7"/>
      <c r="DT55" s="7"/>
      <c r="DU55" s="7"/>
      <c r="DV55" s="7"/>
      <c r="DW55" s="7"/>
      <c r="DX55" s="7"/>
      <c r="DY55" s="7"/>
      <c r="DZ55" s="7"/>
    </row>
    <row r="56" spans="1:130">
      <c r="A56" s="4">
        <v>420</v>
      </c>
      <c r="B56" s="4">
        <v>3490</v>
      </c>
      <c r="C56" s="4">
        <v>2493</v>
      </c>
      <c r="D56" s="4">
        <v>456</v>
      </c>
      <c r="E56" s="4"/>
      <c r="F56" s="4"/>
      <c r="G56" s="4"/>
      <c r="H56" s="4"/>
      <c r="I56" s="4"/>
      <c r="J56" s="4"/>
      <c r="K56" s="5"/>
      <c r="L56" s="4" t="s">
        <v>106</v>
      </c>
      <c r="M56" s="8" t="s">
        <v>107</v>
      </c>
      <c r="N56" s="4"/>
      <c r="O56" s="8"/>
      <c r="P56" s="8"/>
      <c r="Q56" s="5">
        <v>1110726.3999999999</v>
      </c>
      <c r="R56" s="5">
        <v>756856.95</v>
      </c>
      <c r="S56" s="5">
        <v>425634.7</v>
      </c>
      <c r="T56" s="5">
        <f>SUM(R56:S56)</f>
        <v>1182491.6499999999</v>
      </c>
      <c r="U56" s="5">
        <f>(T56-Q56)</f>
        <v>71765.25</v>
      </c>
      <c r="V56" s="4" t="s">
        <v>112</v>
      </c>
      <c r="W56" s="5">
        <v>539450.62</v>
      </c>
      <c r="X56" s="5">
        <v>643041.03</v>
      </c>
      <c r="Y56" s="5">
        <f t="shared" si="6"/>
        <v>0</v>
      </c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>
        <f t="shared" si="7"/>
        <v>0</v>
      </c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>
        <f t="shared" si="8"/>
        <v>1110726.3999999999</v>
      </c>
      <c r="AZ56" s="5">
        <v>1110726.3999999999</v>
      </c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>
        <f t="shared" si="9"/>
        <v>0</v>
      </c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>
        <f t="shared" si="10"/>
        <v>0</v>
      </c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>
        <f t="shared" si="11"/>
        <v>0</v>
      </c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7"/>
      <c r="CZ56" s="7"/>
      <c r="DA56" s="7"/>
      <c r="DB56" s="7"/>
      <c r="DC56" s="7"/>
      <c r="DD56" s="7"/>
      <c r="DE56" s="7"/>
      <c r="DF56" s="7"/>
      <c r="DG56" s="7"/>
      <c r="DH56" s="7"/>
      <c r="DI56" s="7"/>
      <c r="DJ56" s="7"/>
      <c r="DK56" s="7"/>
      <c r="DL56" s="7"/>
      <c r="DM56" s="7"/>
      <c r="DN56" s="7"/>
      <c r="DO56" s="7"/>
      <c r="DP56" s="7"/>
      <c r="DQ56" s="7"/>
      <c r="DR56" s="7"/>
      <c r="DS56" s="7"/>
      <c r="DT56" s="7"/>
      <c r="DU56" s="7"/>
      <c r="DV56" s="7"/>
      <c r="DW56" s="7"/>
      <c r="DX56" s="7"/>
      <c r="DY56" s="7"/>
      <c r="DZ56" s="7"/>
    </row>
    <row r="57" spans="1:130">
      <c r="A57" s="4">
        <v>420</v>
      </c>
      <c r="B57" s="4">
        <v>3490</v>
      </c>
      <c r="C57" s="4">
        <v>2493</v>
      </c>
      <c r="D57" s="4">
        <v>456</v>
      </c>
      <c r="E57" s="4">
        <v>-1</v>
      </c>
      <c r="F57" s="4"/>
      <c r="G57" s="4"/>
      <c r="H57" s="4"/>
      <c r="I57" s="4"/>
      <c r="J57" s="4"/>
      <c r="K57" s="5"/>
      <c r="L57" s="4" t="s">
        <v>113</v>
      </c>
      <c r="M57" s="8"/>
      <c r="N57" s="4"/>
      <c r="O57" s="8"/>
      <c r="P57" s="8"/>
      <c r="Q57" s="5"/>
      <c r="R57" s="5"/>
      <c r="S57" s="5"/>
      <c r="T57" s="5"/>
      <c r="U57" s="5"/>
      <c r="V57" s="4" t="s">
        <v>114</v>
      </c>
      <c r="W57" s="5"/>
      <c r="X57" s="5">
        <v>425634.7</v>
      </c>
      <c r="Y57" s="5">
        <f t="shared" si="6"/>
        <v>0</v>
      </c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>
        <f t="shared" si="7"/>
        <v>0</v>
      </c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>
        <f t="shared" si="8"/>
        <v>0</v>
      </c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>
        <f t="shared" si="9"/>
        <v>0</v>
      </c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>
        <f t="shared" si="10"/>
        <v>0</v>
      </c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>
        <f t="shared" si="11"/>
        <v>0</v>
      </c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7"/>
      <c r="CZ57" s="7"/>
      <c r="DA57" s="7"/>
      <c r="DB57" s="7"/>
      <c r="DC57" s="7"/>
      <c r="DD57" s="7"/>
      <c r="DE57" s="7"/>
      <c r="DF57" s="7"/>
      <c r="DG57" s="7"/>
      <c r="DH57" s="7"/>
      <c r="DI57" s="7"/>
      <c r="DJ57" s="7"/>
      <c r="DK57" s="7"/>
      <c r="DL57" s="7"/>
      <c r="DM57" s="7"/>
      <c r="DN57" s="7"/>
      <c r="DO57" s="7"/>
      <c r="DP57" s="7"/>
      <c r="DQ57" s="7"/>
      <c r="DR57" s="7"/>
      <c r="DS57" s="7"/>
      <c r="DT57" s="7"/>
      <c r="DU57" s="7"/>
      <c r="DV57" s="7"/>
      <c r="DW57" s="7"/>
      <c r="DX57" s="7"/>
      <c r="DY57" s="7"/>
      <c r="DZ57" s="7"/>
    </row>
    <row r="58" spans="1:130" ht="26">
      <c r="A58" s="4">
        <v>430</v>
      </c>
      <c r="B58" s="4">
        <v>3490</v>
      </c>
      <c r="C58" s="4">
        <v>2493</v>
      </c>
      <c r="D58" s="4">
        <v>457</v>
      </c>
      <c r="E58" s="4"/>
      <c r="F58" s="4"/>
      <c r="G58" s="4"/>
      <c r="H58" s="4"/>
      <c r="I58" s="4"/>
      <c r="J58" s="4"/>
      <c r="K58" s="5"/>
      <c r="L58" s="4" t="s">
        <v>162</v>
      </c>
      <c r="M58" s="8" t="s">
        <v>163</v>
      </c>
      <c r="N58" s="4"/>
      <c r="O58" s="8"/>
      <c r="P58" s="8"/>
      <c r="Q58" s="5">
        <v>799988.39</v>
      </c>
      <c r="R58" s="5">
        <v>545003.4</v>
      </c>
      <c r="S58" s="5">
        <v>247480</v>
      </c>
      <c r="T58" s="5">
        <f>SUM(R58:S58)</f>
        <v>792483.4</v>
      </c>
      <c r="U58" s="5">
        <f>(T58-Q58)</f>
        <v>-7504.9899999999907</v>
      </c>
      <c r="V58" s="4" t="s">
        <v>112</v>
      </c>
      <c r="W58" s="5">
        <v>489169.5</v>
      </c>
      <c r="X58" s="5">
        <v>303313.90000000002</v>
      </c>
      <c r="Y58" s="5">
        <f t="shared" si="6"/>
        <v>0</v>
      </c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>
        <f t="shared" si="7"/>
        <v>0</v>
      </c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>
        <f t="shared" si="8"/>
        <v>799988.39</v>
      </c>
      <c r="AZ58" s="5">
        <v>799988.39</v>
      </c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>
        <f t="shared" si="9"/>
        <v>0</v>
      </c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>
        <f t="shared" si="10"/>
        <v>0</v>
      </c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>
        <f t="shared" si="11"/>
        <v>0</v>
      </c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7"/>
      <c r="CZ58" s="7"/>
      <c r="DA58" s="7"/>
      <c r="DB58" s="7"/>
      <c r="DC58" s="7"/>
      <c r="DD58" s="7"/>
      <c r="DE58" s="7"/>
      <c r="DF58" s="7"/>
      <c r="DG58" s="7"/>
      <c r="DH58" s="7"/>
      <c r="DI58" s="7"/>
      <c r="DJ58" s="7"/>
      <c r="DK58" s="7"/>
      <c r="DL58" s="7"/>
      <c r="DM58" s="7"/>
      <c r="DN58" s="7"/>
      <c r="DO58" s="7"/>
      <c r="DP58" s="7"/>
      <c r="DQ58" s="7"/>
      <c r="DR58" s="7"/>
      <c r="DS58" s="7"/>
      <c r="DT58" s="7"/>
      <c r="DU58" s="7"/>
      <c r="DV58" s="7"/>
      <c r="DW58" s="7"/>
      <c r="DX58" s="7"/>
      <c r="DY58" s="7"/>
      <c r="DZ58" s="7"/>
    </row>
    <row r="59" spans="1:130">
      <c r="A59" s="4">
        <v>430</v>
      </c>
      <c r="B59" s="4">
        <v>3490</v>
      </c>
      <c r="C59" s="4">
        <v>2493</v>
      </c>
      <c r="D59" s="4">
        <v>457</v>
      </c>
      <c r="E59" s="4">
        <v>-1</v>
      </c>
      <c r="F59" s="4"/>
      <c r="G59" s="4"/>
      <c r="H59" s="4"/>
      <c r="I59" s="4"/>
      <c r="J59" s="4"/>
      <c r="K59" s="5"/>
      <c r="L59" s="4" t="s">
        <v>113</v>
      </c>
      <c r="M59" s="8"/>
      <c r="N59" s="4"/>
      <c r="O59" s="8"/>
      <c r="P59" s="8"/>
      <c r="Q59" s="5"/>
      <c r="R59" s="5"/>
      <c r="S59" s="5"/>
      <c r="T59" s="5"/>
      <c r="U59" s="5"/>
      <c r="V59" s="4" t="s">
        <v>114</v>
      </c>
      <c r="W59" s="5"/>
      <c r="X59" s="5">
        <v>247480</v>
      </c>
      <c r="Y59" s="5">
        <f t="shared" si="6"/>
        <v>0</v>
      </c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>
        <f t="shared" si="7"/>
        <v>0</v>
      </c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>
        <f t="shared" si="8"/>
        <v>0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>
        <f t="shared" si="9"/>
        <v>0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>
        <f t="shared" si="10"/>
        <v>0</v>
      </c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>
        <f t="shared" si="11"/>
        <v>0</v>
      </c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7"/>
      <c r="CZ59" s="7"/>
      <c r="DA59" s="7"/>
      <c r="DB59" s="7"/>
      <c r="DC59" s="7"/>
      <c r="DD59" s="7"/>
      <c r="DE59" s="7"/>
      <c r="DF59" s="7"/>
      <c r="DG59" s="7"/>
      <c r="DH59" s="7"/>
      <c r="DI59" s="7"/>
      <c r="DJ59" s="7"/>
      <c r="DK59" s="7"/>
      <c r="DL59" s="7"/>
      <c r="DM59" s="7"/>
      <c r="DN59" s="7"/>
      <c r="DO59" s="7"/>
      <c r="DP59" s="7"/>
      <c r="DQ59" s="7"/>
      <c r="DR59" s="7"/>
      <c r="DS59" s="7"/>
      <c r="DT59" s="7"/>
      <c r="DU59" s="7"/>
      <c r="DV59" s="7"/>
      <c r="DW59" s="7"/>
      <c r="DX59" s="7"/>
      <c r="DY59" s="7"/>
      <c r="DZ59" s="7"/>
    </row>
    <row r="60" spans="1:130">
      <c r="A60" s="4">
        <v>440</v>
      </c>
      <c r="B60" s="4">
        <v>3490</v>
      </c>
      <c r="C60" s="4">
        <v>2493</v>
      </c>
      <c r="D60" s="4">
        <v>458</v>
      </c>
      <c r="E60" s="4"/>
      <c r="F60" s="4"/>
      <c r="G60" s="4"/>
      <c r="H60" s="4"/>
      <c r="I60" s="4"/>
      <c r="J60" s="4"/>
      <c r="K60" s="5"/>
      <c r="L60" s="4" t="s">
        <v>164</v>
      </c>
      <c r="M60" s="8" t="s">
        <v>165</v>
      </c>
      <c r="N60" s="4"/>
      <c r="O60" s="8"/>
      <c r="P60" s="8"/>
      <c r="Q60" s="5">
        <v>53870.34</v>
      </c>
      <c r="R60" s="5">
        <v>104000</v>
      </c>
      <c r="S60" s="5">
        <v>0</v>
      </c>
      <c r="T60" s="5">
        <f>SUM(R60:S60)</f>
        <v>104000</v>
      </c>
      <c r="U60" s="5">
        <f>(T60-Q60)</f>
        <v>50129.66</v>
      </c>
      <c r="V60" s="4" t="s">
        <v>112</v>
      </c>
      <c r="W60" s="5">
        <v>104000</v>
      </c>
      <c r="X60" s="5">
        <v>0</v>
      </c>
      <c r="Y60" s="5">
        <f t="shared" si="6"/>
        <v>0</v>
      </c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>
        <f t="shared" si="7"/>
        <v>0</v>
      </c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>
        <f t="shared" si="8"/>
        <v>53870.34</v>
      </c>
      <c r="AZ60" s="5">
        <v>53870.34</v>
      </c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>
        <f t="shared" si="9"/>
        <v>0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>
        <f t="shared" si="10"/>
        <v>0</v>
      </c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>
        <f t="shared" si="11"/>
        <v>0</v>
      </c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7"/>
      <c r="CZ60" s="7"/>
      <c r="DA60" s="7"/>
      <c r="DB60" s="7"/>
      <c r="DC60" s="7"/>
      <c r="DD60" s="7"/>
      <c r="DE60" s="7"/>
      <c r="DF60" s="7"/>
      <c r="DG60" s="7"/>
      <c r="DH60" s="7"/>
      <c r="DI60" s="7"/>
      <c r="DJ60" s="7"/>
      <c r="DK60" s="7"/>
      <c r="DL60" s="7"/>
      <c r="DM60" s="7"/>
      <c r="DN60" s="7"/>
      <c r="DO60" s="7"/>
      <c r="DP60" s="7"/>
      <c r="DQ60" s="7"/>
      <c r="DR60" s="7"/>
      <c r="DS60" s="7"/>
      <c r="DT60" s="7"/>
      <c r="DU60" s="7"/>
      <c r="DV60" s="7"/>
      <c r="DW60" s="7"/>
      <c r="DX60" s="7"/>
      <c r="DY60" s="7"/>
      <c r="DZ60" s="7"/>
    </row>
    <row r="61" spans="1:130">
      <c r="A61" s="4">
        <v>440</v>
      </c>
      <c r="B61" s="4">
        <v>3490</v>
      </c>
      <c r="C61" s="4">
        <v>2493</v>
      </c>
      <c r="D61" s="4">
        <v>458</v>
      </c>
      <c r="E61" s="4">
        <v>-1</v>
      </c>
      <c r="F61" s="4"/>
      <c r="G61" s="4"/>
      <c r="H61" s="4"/>
      <c r="I61" s="4"/>
      <c r="J61" s="4"/>
      <c r="K61" s="5"/>
      <c r="L61" s="4" t="s">
        <v>113</v>
      </c>
      <c r="M61" s="8"/>
      <c r="N61" s="4"/>
      <c r="O61" s="8"/>
      <c r="P61" s="8"/>
      <c r="Q61" s="5"/>
      <c r="R61" s="5"/>
      <c r="S61" s="5"/>
      <c r="T61" s="5"/>
      <c r="U61" s="5"/>
      <c r="V61" s="4" t="s">
        <v>114</v>
      </c>
      <c r="W61" s="5"/>
      <c r="X61" s="5">
        <v>0</v>
      </c>
      <c r="Y61" s="5">
        <f t="shared" si="6"/>
        <v>0</v>
      </c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>
        <f t="shared" si="7"/>
        <v>0</v>
      </c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>
        <f t="shared" si="8"/>
        <v>0</v>
      </c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>
        <f t="shared" si="9"/>
        <v>0</v>
      </c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>
        <f t="shared" si="10"/>
        <v>0</v>
      </c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>
        <f t="shared" si="11"/>
        <v>0</v>
      </c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7"/>
      <c r="CZ61" s="7"/>
      <c r="DA61" s="7"/>
      <c r="DB61" s="7"/>
      <c r="DC61" s="7"/>
      <c r="DD61" s="7"/>
      <c r="DE61" s="7"/>
      <c r="DF61" s="7"/>
      <c r="DG61" s="7"/>
      <c r="DH61" s="7"/>
      <c r="DI61" s="7"/>
      <c r="DJ61" s="7"/>
      <c r="DK61" s="7"/>
      <c r="DL61" s="7"/>
      <c r="DM61" s="7"/>
      <c r="DN61" s="7"/>
      <c r="DO61" s="7"/>
      <c r="DP61" s="7"/>
      <c r="DQ61" s="7"/>
      <c r="DR61" s="7"/>
      <c r="DS61" s="7"/>
      <c r="DT61" s="7"/>
      <c r="DU61" s="7"/>
      <c r="DV61" s="7"/>
      <c r="DW61" s="7"/>
      <c r="DX61" s="7"/>
      <c r="DY61" s="7"/>
      <c r="DZ61" s="7"/>
    </row>
    <row r="62" spans="1:130">
      <c r="A62" s="4">
        <v>450</v>
      </c>
      <c r="B62" s="4">
        <v>3490</v>
      </c>
      <c r="C62" s="4">
        <v>2493</v>
      </c>
      <c r="D62" s="4">
        <v>459</v>
      </c>
      <c r="E62" s="4"/>
      <c r="F62" s="4"/>
      <c r="G62" s="4"/>
      <c r="H62" s="4"/>
      <c r="I62" s="4"/>
      <c r="J62" s="4"/>
      <c r="K62" s="5"/>
      <c r="L62" s="4" t="s">
        <v>166</v>
      </c>
      <c r="M62" s="8" t="s">
        <v>165</v>
      </c>
      <c r="N62" s="4"/>
      <c r="O62" s="8"/>
      <c r="P62" s="8"/>
      <c r="Q62" s="5">
        <v>53870.34</v>
      </c>
      <c r="R62" s="5">
        <v>104000</v>
      </c>
      <c r="S62" s="5">
        <v>0</v>
      </c>
      <c r="T62" s="5">
        <f>SUM(R62:S62)</f>
        <v>104000</v>
      </c>
      <c r="U62" s="5">
        <f>(T62-Q62)</f>
        <v>50129.66</v>
      </c>
      <c r="V62" s="4" t="s">
        <v>112</v>
      </c>
      <c r="W62" s="5">
        <v>104000</v>
      </c>
      <c r="X62" s="5">
        <v>0</v>
      </c>
      <c r="Y62" s="5">
        <f t="shared" si="6"/>
        <v>0</v>
      </c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>
        <f t="shared" si="7"/>
        <v>0</v>
      </c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>
        <f t="shared" si="8"/>
        <v>53870.34</v>
      </c>
      <c r="AZ62" s="5">
        <v>53870.34</v>
      </c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>
        <f t="shared" si="9"/>
        <v>0</v>
      </c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>
        <f t="shared" si="10"/>
        <v>0</v>
      </c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>
        <f t="shared" si="11"/>
        <v>0</v>
      </c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7"/>
      <c r="CZ62" s="7"/>
      <c r="DA62" s="7"/>
      <c r="DB62" s="7"/>
      <c r="DC62" s="7"/>
      <c r="DD62" s="7"/>
      <c r="DE62" s="7"/>
      <c r="DF62" s="7"/>
      <c r="DG62" s="7"/>
      <c r="DH62" s="7"/>
      <c r="DI62" s="7"/>
      <c r="DJ62" s="7"/>
      <c r="DK62" s="7"/>
      <c r="DL62" s="7"/>
      <c r="DM62" s="7"/>
      <c r="DN62" s="7"/>
      <c r="DO62" s="7"/>
      <c r="DP62" s="7"/>
      <c r="DQ62" s="7"/>
      <c r="DR62" s="7"/>
      <c r="DS62" s="7"/>
      <c r="DT62" s="7"/>
      <c r="DU62" s="7"/>
      <c r="DV62" s="7"/>
      <c r="DW62" s="7"/>
      <c r="DX62" s="7"/>
      <c r="DY62" s="7"/>
      <c r="DZ62" s="7"/>
    </row>
    <row r="63" spans="1:130">
      <c r="A63" s="4">
        <v>450</v>
      </c>
      <c r="B63" s="4">
        <v>3490</v>
      </c>
      <c r="C63" s="4">
        <v>2493</v>
      </c>
      <c r="D63" s="4">
        <v>459</v>
      </c>
      <c r="E63" s="4">
        <v>-1</v>
      </c>
      <c r="F63" s="4"/>
      <c r="G63" s="4"/>
      <c r="H63" s="4"/>
      <c r="I63" s="4"/>
      <c r="J63" s="4"/>
      <c r="K63" s="5"/>
      <c r="L63" s="4" t="s">
        <v>113</v>
      </c>
      <c r="M63" s="8"/>
      <c r="N63" s="4"/>
      <c r="O63" s="8"/>
      <c r="P63" s="8"/>
      <c r="Q63" s="5"/>
      <c r="R63" s="5"/>
      <c r="S63" s="5"/>
      <c r="T63" s="5"/>
      <c r="U63" s="5"/>
      <c r="V63" s="4" t="s">
        <v>114</v>
      </c>
      <c r="W63" s="5"/>
      <c r="X63" s="5">
        <v>0</v>
      </c>
      <c r="Y63" s="5">
        <f t="shared" si="6"/>
        <v>0</v>
      </c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>
        <v>0</v>
      </c>
      <c r="AL63" s="5">
        <f t="shared" si="7"/>
        <v>0</v>
      </c>
      <c r="AM63" s="5"/>
      <c r="AN63" s="5">
        <v>0</v>
      </c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>
        <f t="shared" si="8"/>
        <v>0</v>
      </c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>
        <f t="shared" si="9"/>
        <v>0</v>
      </c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>
        <f t="shared" si="10"/>
        <v>0</v>
      </c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>
        <f t="shared" si="11"/>
        <v>0</v>
      </c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7"/>
      <c r="CZ63" s="7"/>
      <c r="DA63" s="7"/>
      <c r="DB63" s="7"/>
      <c r="DC63" s="7"/>
      <c r="DD63" s="7"/>
      <c r="DE63" s="7"/>
      <c r="DF63" s="7"/>
      <c r="DG63" s="7"/>
      <c r="DH63" s="7"/>
      <c r="DI63" s="7"/>
      <c r="DJ63" s="7"/>
      <c r="DK63" s="7"/>
      <c r="DL63" s="7"/>
      <c r="DM63" s="7"/>
      <c r="DN63" s="7"/>
      <c r="DO63" s="7"/>
      <c r="DP63" s="7"/>
      <c r="DQ63" s="7"/>
      <c r="DR63" s="7"/>
      <c r="DS63" s="7"/>
      <c r="DT63" s="7"/>
      <c r="DU63" s="7"/>
      <c r="DV63" s="7"/>
      <c r="DW63" s="7"/>
      <c r="DX63" s="7"/>
      <c r="DY63" s="7"/>
      <c r="DZ63" s="7"/>
    </row>
    <row r="64" spans="1:130" ht="26">
      <c r="A64" s="4">
        <v>450</v>
      </c>
      <c r="B64" s="4">
        <v>3490</v>
      </c>
      <c r="C64" s="4">
        <v>2493</v>
      </c>
      <c r="D64" s="4">
        <v>459</v>
      </c>
      <c r="E64" s="4">
        <v>965856</v>
      </c>
      <c r="F64" s="4"/>
      <c r="G64" s="4"/>
      <c r="H64" s="4"/>
      <c r="I64" s="4"/>
      <c r="J64" s="4"/>
      <c r="K64" s="5"/>
      <c r="L64" s="4" t="s">
        <v>113</v>
      </c>
      <c r="M64" s="8"/>
      <c r="N64" s="4" t="s">
        <v>167</v>
      </c>
      <c r="O64" s="8" t="s">
        <v>168</v>
      </c>
      <c r="P64" s="8" t="s">
        <v>169</v>
      </c>
      <c r="Q64" s="5"/>
      <c r="R64" s="5">
        <v>104000</v>
      </c>
      <c r="S64" s="5"/>
      <c r="T64" s="5"/>
      <c r="U64" s="5"/>
      <c r="V64" s="4" t="s">
        <v>120</v>
      </c>
      <c r="W64" s="5"/>
      <c r="X64" s="5"/>
      <c r="Y64" s="5">
        <f t="shared" si="6"/>
        <v>103999.99999999999</v>
      </c>
      <c r="Z64" s="5">
        <v>8808.74</v>
      </c>
      <c r="AA64" s="5">
        <v>8240.44</v>
      </c>
      <c r="AB64" s="5">
        <v>8808.74</v>
      </c>
      <c r="AC64" s="5">
        <v>8524.59</v>
      </c>
      <c r="AD64" s="5">
        <v>8808.74</v>
      </c>
      <c r="AE64" s="5">
        <v>8524.59</v>
      </c>
      <c r="AF64" s="5">
        <v>8808.74</v>
      </c>
      <c r="AG64" s="5">
        <v>8808.74</v>
      </c>
      <c r="AH64" s="5">
        <v>8524.59</v>
      </c>
      <c r="AI64" s="5">
        <v>8808.74</v>
      </c>
      <c r="AJ64" s="5">
        <v>8524.59</v>
      </c>
      <c r="AK64" s="5">
        <v>8808.76</v>
      </c>
      <c r="AL64" s="5">
        <f t="shared" si="7"/>
        <v>0</v>
      </c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>
        <f t="shared" si="8"/>
        <v>0</v>
      </c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>
        <f t="shared" si="9"/>
        <v>0</v>
      </c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>
        <f t="shared" si="10"/>
        <v>0</v>
      </c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>
        <f t="shared" si="11"/>
        <v>0</v>
      </c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7"/>
      <c r="CZ64" s="7"/>
      <c r="DA64" s="7"/>
      <c r="DB64" s="7"/>
      <c r="DC64" s="7"/>
      <c r="DD64" s="7"/>
      <c r="DE64" s="7"/>
      <c r="DF64" s="7"/>
      <c r="DG64" s="7"/>
      <c r="DH64" s="7"/>
      <c r="DI64" s="7"/>
      <c r="DJ64" s="7"/>
      <c r="DK64" s="7"/>
      <c r="DL64" s="7"/>
      <c r="DM64" s="7"/>
      <c r="DN64" s="7"/>
      <c r="DO64" s="7"/>
      <c r="DP64" s="7"/>
      <c r="DQ64" s="7"/>
      <c r="DR64" s="7"/>
      <c r="DS64" s="7"/>
      <c r="DT64" s="7"/>
      <c r="DU64" s="7"/>
      <c r="DV64" s="7"/>
      <c r="DW64" s="7"/>
      <c r="DX64" s="7"/>
      <c r="DY64" s="7"/>
      <c r="DZ64" s="7"/>
    </row>
    <row r="65" spans="1:130" ht="26">
      <c r="A65" s="4">
        <v>450</v>
      </c>
      <c r="B65" s="4">
        <v>3490</v>
      </c>
      <c r="C65" s="4">
        <v>2493</v>
      </c>
      <c r="D65" s="4">
        <v>459</v>
      </c>
      <c r="E65" s="4">
        <v>965856</v>
      </c>
      <c r="F65" s="4"/>
      <c r="G65" s="4"/>
      <c r="H65" s="4"/>
      <c r="I65" s="4"/>
      <c r="J65" s="4"/>
      <c r="K65" s="5"/>
      <c r="L65" s="4" t="s">
        <v>113</v>
      </c>
      <c r="M65" s="8"/>
      <c r="N65" s="4" t="s">
        <v>167</v>
      </c>
      <c r="O65" s="8" t="s">
        <v>168</v>
      </c>
      <c r="P65" s="8" t="s">
        <v>169</v>
      </c>
      <c r="Q65" s="5"/>
      <c r="R65" s="5">
        <v>0</v>
      </c>
      <c r="S65" s="5"/>
      <c r="T65" s="5"/>
      <c r="U65" s="5"/>
      <c r="V65" s="4" t="s">
        <v>121</v>
      </c>
      <c r="W65" s="5">
        <v>104000</v>
      </c>
      <c r="X65" s="5"/>
      <c r="Y65" s="5">
        <f t="shared" si="6"/>
        <v>15600</v>
      </c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>
        <v>15600</v>
      </c>
      <c r="AL65" s="5">
        <f t="shared" si="7"/>
        <v>76800</v>
      </c>
      <c r="AM65" s="5"/>
      <c r="AN65" s="5">
        <v>46800</v>
      </c>
      <c r="AO65" s="5"/>
      <c r="AP65" s="5"/>
      <c r="AQ65" s="5"/>
      <c r="AR65" s="5"/>
      <c r="AS65" s="5"/>
      <c r="AT65" s="5"/>
      <c r="AU65" s="5"/>
      <c r="AV65" s="5"/>
      <c r="AW65" s="5">
        <v>30000</v>
      </c>
      <c r="AX65" s="5"/>
      <c r="AY65" s="5">
        <f t="shared" si="8"/>
        <v>11600</v>
      </c>
      <c r="AZ65" s="5"/>
      <c r="BA65" s="5"/>
      <c r="BB65" s="5"/>
      <c r="BC65" s="5"/>
      <c r="BD65" s="5">
        <v>11600</v>
      </c>
      <c r="BE65" s="5"/>
      <c r="BF65" s="5"/>
      <c r="BG65" s="5"/>
      <c r="BH65" s="5"/>
      <c r="BI65" s="5"/>
      <c r="BJ65" s="5"/>
      <c r="BK65" s="5"/>
      <c r="BL65" s="5">
        <f t="shared" si="9"/>
        <v>0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>
        <f t="shared" si="10"/>
        <v>0</v>
      </c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>
        <f t="shared" si="11"/>
        <v>0</v>
      </c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7"/>
      <c r="CZ65" s="7"/>
      <c r="DA65" s="7"/>
      <c r="DB65" s="7"/>
      <c r="DC65" s="7"/>
      <c r="DD65" s="7"/>
      <c r="DE65" s="7"/>
      <c r="DF65" s="7"/>
      <c r="DG65" s="7"/>
      <c r="DH65" s="7"/>
      <c r="DI65" s="7"/>
      <c r="DJ65" s="7"/>
      <c r="DK65" s="7"/>
      <c r="DL65" s="7"/>
      <c r="DM65" s="7"/>
      <c r="DN65" s="7"/>
      <c r="DO65" s="7"/>
      <c r="DP65" s="7"/>
      <c r="DQ65" s="7"/>
      <c r="DR65" s="7"/>
      <c r="DS65" s="7"/>
      <c r="DT65" s="7"/>
      <c r="DU65" s="7"/>
      <c r="DV65" s="7"/>
      <c r="DW65" s="7"/>
      <c r="DX65" s="7"/>
      <c r="DY65" s="7"/>
      <c r="DZ65" s="7"/>
    </row>
    <row r="66" spans="1:130">
      <c r="A66" s="4">
        <v>460</v>
      </c>
      <c r="B66" s="4">
        <v>3490</v>
      </c>
      <c r="C66" s="4">
        <v>2493</v>
      </c>
      <c r="D66" s="4">
        <v>460</v>
      </c>
      <c r="E66" s="4"/>
      <c r="F66" s="4"/>
      <c r="G66" s="4"/>
      <c r="H66" s="4"/>
      <c r="I66" s="4"/>
      <c r="J66" s="4"/>
      <c r="K66" s="5"/>
      <c r="L66" s="4" t="s">
        <v>170</v>
      </c>
      <c r="M66" s="8" t="s">
        <v>171</v>
      </c>
      <c r="N66" s="4"/>
      <c r="O66" s="8"/>
      <c r="P66" s="8"/>
      <c r="Q66" s="5">
        <v>92120.85</v>
      </c>
      <c r="R66" s="5">
        <v>7915</v>
      </c>
      <c r="S66" s="5">
        <v>0</v>
      </c>
      <c r="T66" s="5">
        <f>SUM(R66:S66)</f>
        <v>7915</v>
      </c>
      <c r="U66" s="5">
        <f>(T66-Q66)</f>
        <v>-84205.85</v>
      </c>
      <c r="V66" s="4" t="s">
        <v>112</v>
      </c>
      <c r="W66" s="5">
        <v>7915</v>
      </c>
      <c r="X66" s="5">
        <v>0</v>
      </c>
      <c r="Y66" s="5">
        <f t="shared" si="6"/>
        <v>0</v>
      </c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>
        <f t="shared" si="7"/>
        <v>0</v>
      </c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>
        <f t="shared" si="8"/>
        <v>92120.85</v>
      </c>
      <c r="AZ66" s="5">
        <v>92120.85</v>
      </c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>
        <f t="shared" si="9"/>
        <v>0</v>
      </c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>
        <f t="shared" si="10"/>
        <v>0</v>
      </c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>
        <f t="shared" si="11"/>
        <v>0</v>
      </c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7"/>
      <c r="CZ66" s="7"/>
      <c r="DA66" s="7"/>
      <c r="DB66" s="7"/>
      <c r="DC66" s="7"/>
      <c r="DD66" s="7"/>
      <c r="DE66" s="7"/>
      <c r="DF66" s="7"/>
      <c r="DG66" s="7"/>
      <c r="DH66" s="7"/>
      <c r="DI66" s="7"/>
      <c r="DJ66" s="7"/>
      <c r="DK66" s="7"/>
      <c r="DL66" s="7"/>
      <c r="DM66" s="7"/>
      <c r="DN66" s="7"/>
      <c r="DO66" s="7"/>
      <c r="DP66" s="7"/>
      <c r="DQ66" s="7"/>
      <c r="DR66" s="7"/>
      <c r="DS66" s="7"/>
      <c r="DT66" s="7"/>
      <c r="DU66" s="7"/>
      <c r="DV66" s="7"/>
      <c r="DW66" s="7"/>
      <c r="DX66" s="7"/>
      <c r="DY66" s="7"/>
      <c r="DZ66" s="7"/>
    </row>
    <row r="67" spans="1:130">
      <c r="A67" s="4">
        <v>460</v>
      </c>
      <c r="B67" s="4">
        <v>3490</v>
      </c>
      <c r="C67" s="4">
        <v>2493</v>
      </c>
      <c r="D67" s="4">
        <v>460</v>
      </c>
      <c r="E67" s="4">
        <v>-1</v>
      </c>
      <c r="F67" s="4"/>
      <c r="G67" s="4"/>
      <c r="H67" s="4"/>
      <c r="I67" s="4"/>
      <c r="J67" s="4"/>
      <c r="K67" s="5"/>
      <c r="L67" s="4" t="s">
        <v>113</v>
      </c>
      <c r="M67" s="8"/>
      <c r="N67" s="4"/>
      <c r="O67" s="8"/>
      <c r="P67" s="8"/>
      <c r="Q67" s="5"/>
      <c r="R67" s="5"/>
      <c r="S67" s="5"/>
      <c r="T67" s="5"/>
      <c r="U67" s="5"/>
      <c r="V67" s="4" t="s">
        <v>114</v>
      </c>
      <c r="W67" s="5"/>
      <c r="X67" s="5">
        <v>0</v>
      </c>
      <c r="Y67" s="5">
        <f t="shared" si="6"/>
        <v>0</v>
      </c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>
        <f t="shared" si="7"/>
        <v>0</v>
      </c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>
        <f t="shared" si="8"/>
        <v>0</v>
      </c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>
        <f t="shared" si="9"/>
        <v>0</v>
      </c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>
        <f t="shared" si="10"/>
        <v>0</v>
      </c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>
        <f t="shared" si="11"/>
        <v>0</v>
      </c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7"/>
      <c r="CZ67" s="7"/>
      <c r="DA67" s="7"/>
      <c r="DB67" s="7"/>
      <c r="DC67" s="7"/>
      <c r="DD67" s="7"/>
      <c r="DE67" s="7"/>
      <c r="DF67" s="7"/>
      <c r="DG67" s="7"/>
      <c r="DH67" s="7"/>
      <c r="DI67" s="7"/>
      <c r="DJ67" s="7"/>
      <c r="DK67" s="7"/>
      <c r="DL67" s="7"/>
      <c r="DM67" s="7"/>
      <c r="DN67" s="7"/>
      <c r="DO67" s="7"/>
      <c r="DP67" s="7"/>
      <c r="DQ67" s="7"/>
      <c r="DR67" s="7"/>
      <c r="DS67" s="7"/>
      <c r="DT67" s="7"/>
      <c r="DU67" s="7"/>
      <c r="DV67" s="7"/>
      <c r="DW67" s="7"/>
      <c r="DX67" s="7"/>
      <c r="DY67" s="7"/>
      <c r="DZ67" s="7"/>
    </row>
    <row r="68" spans="1:130">
      <c r="A68" s="4">
        <v>500</v>
      </c>
      <c r="B68" s="4">
        <v>3490</v>
      </c>
      <c r="C68" s="4">
        <v>2493</v>
      </c>
      <c r="D68" s="4">
        <v>546</v>
      </c>
      <c r="E68" s="4"/>
      <c r="F68" s="4"/>
      <c r="G68" s="4"/>
      <c r="H68" s="4"/>
      <c r="I68" s="4"/>
      <c r="J68" s="4"/>
      <c r="K68" s="5"/>
      <c r="L68" s="4" t="s">
        <v>172</v>
      </c>
      <c r="M68" s="8" t="s">
        <v>173</v>
      </c>
      <c r="N68" s="4"/>
      <c r="O68" s="8"/>
      <c r="P68" s="8"/>
      <c r="Q68" s="5">
        <v>30706.95</v>
      </c>
      <c r="R68" s="5">
        <v>7915</v>
      </c>
      <c r="S68" s="5">
        <v>0</v>
      </c>
      <c r="T68" s="5">
        <f>SUM(R68:S68)</f>
        <v>7915</v>
      </c>
      <c r="U68" s="5">
        <f>(T68-Q68)</f>
        <v>-22791.95</v>
      </c>
      <c r="V68" s="4" t="s">
        <v>112</v>
      </c>
      <c r="W68" s="5">
        <v>7915</v>
      </c>
      <c r="X68" s="5">
        <v>0</v>
      </c>
      <c r="Y68" s="5">
        <f t="shared" si="6"/>
        <v>0</v>
      </c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>
        <f t="shared" si="7"/>
        <v>0</v>
      </c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>
        <f t="shared" si="8"/>
        <v>30706.95</v>
      </c>
      <c r="AZ68" s="5">
        <v>30706.95</v>
      </c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>
        <f t="shared" si="9"/>
        <v>0</v>
      </c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>
        <f t="shared" si="10"/>
        <v>0</v>
      </c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>
        <f t="shared" si="11"/>
        <v>0</v>
      </c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7"/>
      <c r="CZ68" s="7"/>
      <c r="DA68" s="7"/>
      <c r="DB68" s="7"/>
      <c r="DC68" s="7"/>
      <c r="DD68" s="7"/>
      <c r="DE68" s="7"/>
      <c r="DF68" s="7"/>
      <c r="DG68" s="7"/>
      <c r="DH68" s="7"/>
      <c r="DI68" s="7"/>
      <c r="DJ68" s="7"/>
      <c r="DK68" s="7"/>
      <c r="DL68" s="7"/>
      <c r="DM68" s="7"/>
      <c r="DN68" s="7"/>
      <c r="DO68" s="7"/>
      <c r="DP68" s="7"/>
      <c r="DQ68" s="7"/>
      <c r="DR68" s="7"/>
      <c r="DS68" s="7"/>
      <c r="DT68" s="7"/>
      <c r="DU68" s="7"/>
      <c r="DV68" s="7"/>
      <c r="DW68" s="7"/>
      <c r="DX68" s="7"/>
      <c r="DY68" s="7"/>
      <c r="DZ68" s="7"/>
    </row>
    <row r="69" spans="1:130">
      <c r="A69" s="4">
        <v>500</v>
      </c>
      <c r="B69" s="4">
        <v>3490</v>
      </c>
      <c r="C69" s="4">
        <v>2493</v>
      </c>
      <c r="D69" s="4">
        <v>546</v>
      </c>
      <c r="E69" s="4">
        <v>-1</v>
      </c>
      <c r="F69" s="4"/>
      <c r="G69" s="4"/>
      <c r="H69" s="4"/>
      <c r="I69" s="4"/>
      <c r="J69" s="4"/>
      <c r="K69" s="5"/>
      <c r="L69" s="4" t="s">
        <v>113</v>
      </c>
      <c r="M69" s="8"/>
      <c r="N69" s="4"/>
      <c r="O69" s="8"/>
      <c r="P69" s="8"/>
      <c r="Q69" s="5"/>
      <c r="R69" s="5"/>
      <c r="S69" s="5"/>
      <c r="T69" s="5"/>
      <c r="U69" s="5"/>
      <c r="V69" s="4" t="s">
        <v>114</v>
      </c>
      <c r="W69" s="5"/>
      <c r="X69" s="5">
        <v>0</v>
      </c>
      <c r="Y69" s="5">
        <f t="shared" si="6"/>
        <v>0</v>
      </c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>
        <f t="shared" si="7"/>
        <v>0</v>
      </c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>
        <f t="shared" si="8"/>
        <v>0</v>
      </c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>
        <f t="shared" si="9"/>
        <v>0</v>
      </c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>
        <f t="shared" si="10"/>
        <v>0</v>
      </c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>
        <f t="shared" si="11"/>
        <v>0</v>
      </c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7"/>
      <c r="CZ69" s="7"/>
      <c r="DA69" s="7"/>
      <c r="DB69" s="7"/>
      <c r="DC69" s="7"/>
      <c r="DD69" s="7"/>
      <c r="DE69" s="7"/>
      <c r="DF69" s="7"/>
      <c r="DG69" s="7"/>
      <c r="DH69" s="7"/>
      <c r="DI69" s="7"/>
      <c r="DJ69" s="7"/>
      <c r="DK69" s="7"/>
      <c r="DL69" s="7"/>
      <c r="DM69" s="7"/>
      <c r="DN69" s="7"/>
      <c r="DO69" s="7"/>
      <c r="DP69" s="7"/>
      <c r="DQ69" s="7"/>
      <c r="DR69" s="7"/>
      <c r="DS69" s="7"/>
      <c r="DT69" s="7"/>
      <c r="DU69" s="7"/>
      <c r="DV69" s="7"/>
      <c r="DW69" s="7"/>
      <c r="DX69" s="7"/>
      <c r="DY69" s="7"/>
      <c r="DZ69" s="7"/>
    </row>
    <row r="70" spans="1:130" ht="26">
      <c r="A70" s="4">
        <v>500</v>
      </c>
      <c r="B70" s="4">
        <v>3490</v>
      </c>
      <c r="C70" s="4">
        <v>2493</v>
      </c>
      <c r="D70" s="4">
        <v>546</v>
      </c>
      <c r="E70" s="4">
        <v>965856</v>
      </c>
      <c r="F70" s="4"/>
      <c r="G70" s="4"/>
      <c r="H70" s="4"/>
      <c r="I70" s="4"/>
      <c r="J70" s="4"/>
      <c r="K70" s="5"/>
      <c r="L70" s="4" t="s">
        <v>113</v>
      </c>
      <c r="M70" s="8"/>
      <c r="N70" s="4" t="s">
        <v>167</v>
      </c>
      <c r="O70" s="8" t="s">
        <v>168</v>
      </c>
      <c r="P70" s="8" t="s">
        <v>169</v>
      </c>
      <c r="Q70" s="5"/>
      <c r="R70" s="5">
        <v>7915</v>
      </c>
      <c r="S70" s="5"/>
      <c r="T70" s="5"/>
      <c r="U70" s="5"/>
      <c r="V70" s="4" t="s">
        <v>120</v>
      </c>
      <c r="W70" s="5"/>
      <c r="X70" s="5"/>
      <c r="Y70" s="5">
        <f t="shared" si="6"/>
        <v>7914.9999999999991</v>
      </c>
      <c r="Z70" s="5">
        <v>670.4</v>
      </c>
      <c r="AA70" s="5">
        <v>627.15</v>
      </c>
      <c r="AB70" s="5">
        <v>670.4</v>
      </c>
      <c r="AC70" s="5">
        <v>648.77</v>
      </c>
      <c r="AD70" s="5">
        <v>670.4</v>
      </c>
      <c r="AE70" s="5">
        <v>648.77</v>
      </c>
      <c r="AF70" s="5">
        <v>670.4</v>
      </c>
      <c r="AG70" s="5">
        <v>670.4</v>
      </c>
      <c r="AH70" s="5">
        <v>648.77</v>
      </c>
      <c r="AI70" s="5">
        <v>670.4</v>
      </c>
      <c r="AJ70" s="5">
        <v>648.77</v>
      </c>
      <c r="AK70" s="5">
        <v>670.37</v>
      </c>
      <c r="AL70" s="5">
        <f t="shared" si="7"/>
        <v>0</v>
      </c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>
        <f t="shared" si="8"/>
        <v>0</v>
      </c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>
        <f t="shared" si="9"/>
        <v>0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>
        <f t="shared" si="10"/>
        <v>0</v>
      </c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>
        <f t="shared" si="11"/>
        <v>0</v>
      </c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7"/>
      <c r="CZ70" s="7"/>
      <c r="DA70" s="7"/>
      <c r="DB70" s="7"/>
      <c r="DC70" s="7"/>
      <c r="DD70" s="7"/>
      <c r="DE70" s="7"/>
      <c r="DF70" s="7"/>
      <c r="DG70" s="7"/>
      <c r="DH70" s="7"/>
      <c r="DI70" s="7"/>
      <c r="DJ70" s="7"/>
      <c r="DK70" s="7"/>
      <c r="DL70" s="7"/>
      <c r="DM70" s="7"/>
      <c r="DN70" s="7"/>
      <c r="DO70" s="7"/>
      <c r="DP70" s="7"/>
      <c r="DQ70" s="7"/>
      <c r="DR70" s="7"/>
      <c r="DS70" s="7"/>
      <c r="DT70" s="7"/>
      <c r="DU70" s="7"/>
      <c r="DV70" s="7"/>
      <c r="DW70" s="7"/>
      <c r="DX70" s="7"/>
      <c r="DY70" s="7"/>
      <c r="DZ70" s="7"/>
    </row>
    <row r="71" spans="1:130" ht="26">
      <c r="A71" s="4">
        <v>500</v>
      </c>
      <c r="B71" s="4">
        <v>3490</v>
      </c>
      <c r="C71" s="4">
        <v>2493</v>
      </c>
      <c r="D71" s="4">
        <v>546</v>
      </c>
      <c r="E71" s="4">
        <v>965856</v>
      </c>
      <c r="F71" s="4"/>
      <c r="G71" s="4"/>
      <c r="H71" s="4"/>
      <c r="I71" s="4"/>
      <c r="J71" s="4"/>
      <c r="K71" s="5"/>
      <c r="L71" s="4" t="s">
        <v>113</v>
      </c>
      <c r="M71" s="8"/>
      <c r="N71" s="4" t="s">
        <v>167</v>
      </c>
      <c r="O71" s="8" t="s">
        <v>168</v>
      </c>
      <c r="P71" s="8" t="s">
        <v>169</v>
      </c>
      <c r="Q71" s="5"/>
      <c r="R71" s="5">
        <v>0</v>
      </c>
      <c r="S71" s="5"/>
      <c r="T71" s="5"/>
      <c r="U71" s="5"/>
      <c r="V71" s="4" t="s">
        <v>121</v>
      </c>
      <c r="W71" s="5">
        <v>7915</v>
      </c>
      <c r="X71" s="5"/>
      <c r="Y71" s="5">
        <f t="shared" si="6"/>
        <v>0</v>
      </c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>
        <f t="shared" si="7"/>
        <v>7915</v>
      </c>
      <c r="AM71" s="5"/>
      <c r="AN71" s="5"/>
      <c r="AO71" s="5"/>
      <c r="AP71" s="5"/>
      <c r="AQ71" s="5"/>
      <c r="AR71" s="5"/>
      <c r="AS71" s="5">
        <v>7915</v>
      </c>
      <c r="AT71" s="5"/>
      <c r="AU71" s="5"/>
      <c r="AV71" s="5"/>
      <c r="AW71" s="5"/>
      <c r="AX71" s="5"/>
      <c r="AY71" s="5">
        <f t="shared" si="8"/>
        <v>0</v>
      </c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>
        <f t="shared" si="9"/>
        <v>0</v>
      </c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>
        <f t="shared" si="10"/>
        <v>0</v>
      </c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>
        <f t="shared" si="11"/>
        <v>0</v>
      </c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7"/>
      <c r="CZ71" s="7"/>
      <c r="DA71" s="7"/>
      <c r="DB71" s="7"/>
      <c r="DC71" s="7"/>
      <c r="DD71" s="7"/>
      <c r="DE71" s="7"/>
      <c r="DF71" s="7"/>
      <c r="DG71" s="7"/>
      <c r="DH71" s="7"/>
      <c r="DI71" s="7"/>
      <c r="DJ71" s="7"/>
      <c r="DK71" s="7"/>
      <c r="DL71" s="7"/>
      <c r="DM71" s="7"/>
      <c r="DN71" s="7"/>
      <c r="DO71" s="7"/>
      <c r="DP71" s="7"/>
      <c r="DQ71" s="7"/>
      <c r="DR71" s="7"/>
      <c r="DS71" s="7"/>
      <c r="DT71" s="7"/>
      <c r="DU71" s="7"/>
      <c r="DV71" s="7"/>
      <c r="DW71" s="7"/>
      <c r="DX71" s="7"/>
      <c r="DY71" s="7"/>
      <c r="DZ71" s="7"/>
    </row>
    <row r="72" spans="1:130">
      <c r="A72" s="4">
        <v>510</v>
      </c>
      <c r="B72" s="4">
        <v>3490</v>
      </c>
      <c r="C72" s="4">
        <v>2493</v>
      </c>
      <c r="D72" s="4">
        <v>462</v>
      </c>
      <c r="E72" s="4"/>
      <c r="F72" s="4"/>
      <c r="G72" s="4"/>
      <c r="H72" s="4"/>
      <c r="I72" s="4"/>
      <c r="J72" s="4"/>
      <c r="K72" s="5"/>
      <c r="L72" s="4" t="s">
        <v>174</v>
      </c>
      <c r="M72" s="8" t="s">
        <v>175</v>
      </c>
      <c r="N72" s="4"/>
      <c r="O72" s="8"/>
      <c r="P72" s="8"/>
      <c r="Q72" s="5">
        <v>144877.37</v>
      </c>
      <c r="R72" s="5">
        <v>154680</v>
      </c>
      <c r="S72" s="5">
        <v>0</v>
      </c>
      <c r="T72" s="5">
        <f>SUM(R72:S72)</f>
        <v>154680</v>
      </c>
      <c r="U72" s="5">
        <f>(T72-Q72)</f>
        <v>9802.6300000000047</v>
      </c>
      <c r="V72" s="4" t="s">
        <v>112</v>
      </c>
      <c r="W72" s="5">
        <v>154680</v>
      </c>
      <c r="X72" s="5">
        <v>0</v>
      </c>
      <c r="Y72" s="5">
        <f t="shared" si="6"/>
        <v>0</v>
      </c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>
        <f t="shared" si="7"/>
        <v>0</v>
      </c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>
        <f t="shared" si="8"/>
        <v>144877.37</v>
      </c>
      <c r="AZ72" s="5">
        <v>144877.37</v>
      </c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>
        <f t="shared" si="9"/>
        <v>0</v>
      </c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>
        <f t="shared" si="10"/>
        <v>0</v>
      </c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>
        <f t="shared" si="11"/>
        <v>0</v>
      </c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7"/>
      <c r="CZ72" s="7"/>
      <c r="DA72" s="7"/>
      <c r="DB72" s="7"/>
      <c r="DC72" s="7"/>
      <c r="DD72" s="7"/>
      <c r="DE72" s="7"/>
      <c r="DF72" s="7"/>
      <c r="DG72" s="7"/>
      <c r="DH72" s="7"/>
      <c r="DI72" s="7"/>
      <c r="DJ72" s="7"/>
      <c r="DK72" s="7"/>
      <c r="DL72" s="7"/>
      <c r="DM72" s="7"/>
      <c r="DN72" s="7"/>
      <c r="DO72" s="7"/>
      <c r="DP72" s="7"/>
      <c r="DQ72" s="7"/>
      <c r="DR72" s="7"/>
      <c r="DS72" s="7"/>
      <c r="DT72" s="7"/>
      <c r="DU72" s="7"/>
      <c r="DV72" s="7"/>
      <c r="DW72" s="7"/>
      <c r="DX72" s="7"/>
      <c r="DY72" s="7"/>
      <c r="DZ72" s="7"/>
    </row>
    <row r="73" spans="1:130">
      <c r="A73" s="4">
        <v>510</v>
      </c>
      <c r="B73" s="4">
        <v>3490</v>
      </c>
      <c r="C73" s="4">
        <v>2493</v>
      </c>
      <c r="D73" s="4">
        <v>462</v>
      </c>
      <c r="E73" s="4">
        <v>-1</v>
      </c>
      <c r="F73" s="4"/>
      <c r="G73" s="4"/>
      <c r="H73" s="4"/>
      <c r="I73" s="4"/>
      <c r="J73" s="4"/>
      <c r="K73" s="5"/>
      <c r="L73" s="4" t="s">
        <v>113</v>
      </c>
      <c r="M73" s="8"/>
      <c r="N73" s="4"/>
      <c r="O73" s="8"/>
      <c r="P73" s="8"/>
      <c r="Q73" s="5"/>
      <c r="R73" s="5"/>
      <c r="S73" s="5"/>
      <c r="T73" s="5"/>
      <c r="U73" s="5"/>
      <c r="V73" s="4" t="s">
        <v>114</v>
      </c>
      <c r="W73" s="5"/>
      <c r="X73" s="5">
        <v>0</v>
      </c>
      <c r="Y73" s="5">
        <f t="shared" ref="Y73:Y104" si="12">SUM(Z73:AK73)</f>
        <v>0</v>
      </c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>
        <f t="shared" ref="AL73:AL104" si="13">SUM(AM73:AX73)</f>
        <v>0</v>
      </c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>
        <f t="shared" ref="AY73:AY104" si="14">SUM(AZ73:BK73)</f>
        <v>0</v>
      </c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>
        <f t="shared" ref="BL73:BL104" si="15">SUM(BM73:BX73)</f>
        <v>0</v>
      </c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>
        <f t="shared" ref="BY73:BY104" si="16">SUM(BZ73:CK73)</f>
        <v>0</v>
      </c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>
        <f t="shared" ref="CL73:CL104" si="17">SUM(CM73:CX73)</f>
        <v>0</v>
      </c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7"/>
      <c r="CZ73" s="7"/>
      <c r="DA73" s="7"/>
      <c r="DB73" s="7"/>
      <c r="DC73" s="7"/>
      <c r="DD73" s="7"/>
      <c r="DE73" s="7"/>
      <c r="DF73" s="7"/>
      <c r="DG73" s="7"/>
      <c r="DH73" s="7"/>
      <c r="DI73" s="7"/>
      <c r="DJ73" s="7"/>
      <c r="DK73" s="7"/>
      <c r="DL73" s="7"/>
      <c r="DM73" s="7"/>
      <c r="DN73" s="7"/>
      <c r="DO73" s="7"/>
      <c r="DP73" s="7"/>
      <c r="DQ73" s="7"/>
      <c r="DR73" s="7"/>
      <c r="DS73" s="7"/>
      <c r="DT73" s="7"/>
      <c r="DU73" s="7"/>
      <c r="DV73" s="7"/>
      <c r="DW73" s="7"/>
      <c r="DX73" s="7"/>
      <c r="DY73" s="7"/>
      <c r="DZ73" s="7"/>
    </row>
    <row r="74" spans="1:130">
      <c r="A74" s="4">
        <v>520</v>
      </c>
      <c r="B74" s="4">
        <v>3490</v>
      </c>
      <c r="C74" s="4">
        <v>2493</v>
      </c>
      <c r="D74" s="4">
        <v>463</v>
      </c>
      <c r="E74" s="4"/>
      <c r="F74" s="4"/>
      <c r="G74" s="4"/>
      <c r="H74" s="4"/>
      <c r="I74" s="4"/>
      <c r="J74" s="4"/>
      <c r="K74" s="5"/>
      <c r="L74" s="4" t="s">
        <v>176</v>
      </c>
      <c r="M74" s="8" t="s">
        <v>177</v>
      </c>
      <c r="N74" s="4"/>
      <c r="O74" s="8"/>
      <c r="P74" s="8"/>
      <c r="Q74" s="5">
        <v>144877.37</v>
      </c>
      <c r="R74" s="5">
        <v>150000</v>
      </c>
      <c r="S74" s="5">
        <v>0</v>
      </c>
      <c r="T74" s="5">
        <f>SUM(R74:S74)</f>
        <v>150000</v>
      </c>
      <c r="U74" s="5">
        <f>(T74-Q74)</f>
        <v>5122.6300000000047</v>
      </c>
      <c r="V74" s="4" t="s">
        <v>112</v>
      </c>
      <c r="W74" s="5">
        <v>150000</v>
      </c>
      <c r="X74" s="5">
        <v>0</v>
      </c>
      <c r="Y74" s="5">
        <f t="shared" si="12"/>
        <v>0</v>
      </c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>
        <f t="shared" si="13"/>
        <v>0</v>
      </c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>
        <f t="shared" si="14"/>
        <v>144877.37</v>
      </c>
      <c r="AZ74" s="5">
        <v>144877.37</v>
      </c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>
        <f t="shared" si="15"/>
        <v>0</v>
      </c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>
        <f t="shared" si="16"/>
        <v>0</v>
      </c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>
        <f t="shared" si="17"/>
        <v>0</v>
      </c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7"/>
      <c r="CZ74" s="7"/>
      <c r="DA74" s="7"/>
      <c r="DB74" s="7"/>
      <c r="DC74" s="7"/>
      <c r="DD74" s="7"/>
      <c r="DE74" s="7"/>
      <c r="DF74" s="7"/>
      <c r="DG74" s="7"/>
      <c r="DH74" s="7"/>
      <c r="DI74" s="7"/>
      <c r="DJ74" s="7"/>
      <c r="DK74" s="7"/>
      <c r="DL74" s="7"/>
      <c r="DM74" s="7"/>
      <c r="DN74" s="7"/>
      <c r="DO74" s="7"/>
      <c r="DP74" s="7"/>
      <c r="DQ74" s="7"/>
      <c r="DR74" s="7"/>
      <c r="DS74" s="7"/>
      <c r="DT74" s="7"/>
      <c r="DU74" s="7"/>
      <c r="DV74" s="7"/>
      <c r="DW74" s="7"/>
      <c r="DX74" s="7"/>
      <c r="DY74" s="7"/>
      <c r="DZ74" s="7"/>
    </row>
    <row r="75" spans="1:130">
      <c r="A75" s="4">
        <v>520</v>
      </c>
      <c r="B75" s="4">
        <v>3490</v>
      </c>
      <c r="C75" s="4">
        <v>2493</v>
      </c>
      <c r="D75" s="4">
        <v>463</v>
      </c>
      <c r="E75" s="4">
        <v>-1</v>
      </c>
      <c r="F75" s="4"/>
      <c r="G75" s="4"/>
      <c r="H75" s="4"/>
      <c r="I75" s="4"/>
      <c r="J75" s="4"/>
      <c r="K75" s="5"/>
      <c r="L75" s="4" t="s">
        <v>113</v>
      </c>
      <c r="M75" s="8"/>
      <c r="N75" s="4"/>
      <c r="O75" s="8"/>
      <c r="P75" s="8"/>
      <c r="Q75" s="5"/>
      <c r="R75" s="5"/>
      <c r="S75" s="5"/>
      <c r="T75" s="5"/>
      <c r="U75" s="5"/>
      <c r="V75" s="4" t="s">
        <v>114</v>
      </c>
      <c r="W75" s="5"/>
      <c r="X75" s="5">
        <v>0</v>
      </c>
      <c r="Y75" s="5">
        <f t="shared" si="12"/>
        <v>0</v>
      </c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>
        <f t="shared" si="13"/>
        <v>0</v>
      </c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>
        <f t="shared" si="14"/>
        <v>0</v>
      </c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>
        <f t="shared" si="15"/>
        <v>0</v>
      </c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>
        <f t="shared" si="16"/>
        <v>0</v>
      </c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>
        <f t="shared" si="17"/>
        <v>0</v>
      </c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7"/>
      <c r="CZ75" s="7"/>
      <c r="DA75" s="7"/>
      <c r="DB75" s="7"/>
      <c r="DC75" s="7"/>
      <c r="DD75" s="7"/>
      <c r="DE75" s="7"/>
      <c r="DF75" s="7"/>
      <c r="DG75" s="7"/>
      <c r="DH75" s="7"/>
      <c r="DI75" s="7"/>
      <c r="DJ75" s="7"/>
      <c r="DK75" s="7"/>
      <c r="DL75" s="7"/>
      <c r="DM75" s="7"/>
      <c r="DN75" s="7"/>
      <c r="DO75" s="7"/>
      <c r="DP75" s="7"/>
      <c r="DQ75" s="7"/>
      <c r="DR75" s="7"/>
      <c r="DS75" s="7"/>
      <c r="DT75" s="7"/>
      <c r="DU75" s="7"/>
      <c r="DV75" s="7"/>
      <c r="DW75" s="7"/>
      <c r="DX75" s="7"/>
      <c r="DY75" s="7"/>
      <c r="DZ75" s="7"/>
    </row>
    <row r="76" spans="1:130" ht="26">
      <c r="A76" s="4">
        <v>520</v>
      </c>
      <c r="B76" s="4">
        <v>3490</v>
      </c>
      <c r="C76" s="4">
        <v>2493</v>
      </c>
      <c r="D76" s="4">
        <v>463</v>
      </c>
      <c r="E76" s="4">
        <v>965856</v>
      </c>
      <c r="F76" s="4"/>
      <c r="G76" s="4"/>
      <c r="H76" s="4"/>
      <c r="I76" s="4"/>
      <c r="J76" s="4"/>
      <c r="K76" s="5"/>
      <c r="L76" s="4" t="s">
        <v>113</v>
      </c>
      <c r="M76" s="8"/>
      <c r="N76" s="4" t="s">
        <v>167</v>
      </c>
      <c r="O76" s="8" t="s">
        <v>168</v>
      </c>
      <c r="P76" s="8" t="s">
        <v>169</v>
      </c>
      <c r="Q76" s="5"/>
      <c r="R76" s="5">
        <v>150000</v>
      </c>
      <c r="S76" s="5"/>
      <c r="T76" s="5"/>
      <c r="U76" s="5"/>
      <c r="V76" s="4" t="s">
        <v>120</v>
      </c>
      <c r="W76" s="5"/>
      <c r="X76" s="5"/>
      <c r="Y76" s="5">
        <f t="shared" si="12"/>
        <v>150000</v>
      </c>
      <c r="Z76" s="5">
        <v>12704.92</v>
      </c>
      <c r="AA76" s="5">
        <v>11885.25</v>
      </c>
      <c r="AB76" s="5">
        <v>12704.92</v>
      </c>
      <c r="AC76" s="5">
        <v>12295.08</v>
      </c>
      <c r="AD76" s="5">
        <v>12704.92</v>
      </c>
      <c r="AE76" s="5">
        <v>12295.08</v>
      </c>
      <c r="AF76" s="5">
        <v>12704.92</v>
      </c>
      <c r="AG76" s="5">
        <v>12704.92</v>
      </c>
      <c r="AH76" s="5">
        <v>12295.08</v>
      </c>
      <c r="AI76" s="5">
        <v>12704.92</v>
      </c>
      <c r="AJ76" s="5">
        <v>12295.08</v>
      </c>
      <c r="AK76" s="5">
        <v>12704.91</v>
      </c>
      <c r="AL76" s="5">
        <f t="shared" si="13"/>
        <v>0</v>
      </c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>
        <f t="shared" si="14"/>
        <v>0</v>
      </c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>
        <f t="shared" si="15"/>
        <v>0</v>
      </c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>
        <f t="shared" si="16"/>
        <v>0</v>
      </c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>
        <f t="shared" si="17"/>
        <v>0</v>
      </c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7"/>
      <c r="CZ76" s="7"/>
      <c r="DA76" s="7"/>
      <c r="DB76" s="7"/>
      <c r="DC76" s="7"/>
      <c r="DD76" s="7"/>
      <c r="DE76" s="7"/>
      <c r="DF76" s="7"/>
      <c r="DG76" s="7"/>
      <c r="DH76" s="7"/>
      <c r="DI76" s="7"/>
      <c r="DJ76" s="7"/>
      <c r="DK76" s="7"/>
      <c r="DL76" s="7"/>
      <c r="DM76" s="7"/>
      <c r="DN76" s="7"/>
      <c r="DO76" s="7"/>
      <c r="DP76" s="7"/>
      <c r="DQ76" s="7"/>
      <c r="DR76" s="7"/>
      <c r="DS76" s="7"/>
      <c r="DT76" s="7"/>
      <c r="DU76" s="7"/>
      <c r="DV76" s="7"/>
      <c r="DW76" s="7"/>
      <c r="DX76" s="7"/>
      <c r="DY76" s="7"/>
      <c r="DZ76" s="7"/>
    </row>
    <row r="77" spans="1:130" ht="26">
      <c r="A77" s="4">
        <v>520</v>
      </c>
      <c r="B77" s="4">
        <v>3490</v>
      </c>
      <c r="C77" s="4">
        <v>2493</v>
      </c>
      <c r="D77" s="4">
        <v>463</v>
      </c>
      <c r="E77" s="4">
        <v>965856</v>
      </c>
      <c r="F77" s="4"/>
      <c r="G77" s="4"/>
      <c r="H77" s="4"/>
      <c r="I77" s="4"/>
      <c r="J77" s="4"/>
      <c r="K77" s="5"/>
      <c r="L77" s="4" t="s">
        <v>113</v>
      </c>
      <c r="M77" s="8"/>
      <c r="N77" s="4" t="s">
        <v>167</v>
      </c>
      <c r="O77" s="8" t="s">
        <v>168</v>
      </c>
      <c r="P77" s="8" t="s">
        <v>169</v>
      </c>
      <c r="Q77" s="5"/>
      <c r="R77" s="5">
        <v>0</v>
      </c>
      <c r="S77" s="5"/>
      <c r="T77" s="5"/>
      <c r="U77" s="5"/>
      <c r="V77" s="4" t="s">
        <v>121</v>
      </c>
      <c r="W77" s="5">
        <v>150000</v>
      </c>
      <c r="X77" s="5"/>
      <c r="Y77" s="5">
        <f t="shared" si="12"/>
        <v>0</v>
      </c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>
        <f t="shared" si="13"/>
        <v>0</v>
      </c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>
        <f t="shared" si="14"/>
        <v>150000</v>
      </c>
      <c r="AZ77" s="5"/>
      <c r="BA77" s="5">
        <v>105000</v>
      </c>
      <c r="BB77" s="5"/>
      <c r="BC77" s="5"/>
      <c r="BD77" s="5"/>
      <c r="BE77" s="5">
        <v>45000</v>
      </c>
      <c r="BF77" s="5"/>
      <c r="BG77" s="5"/>
      <c r="BH77" s="5"/>
      <c r="BI77" s="5"/>
      <c r="BJ77" s="5"/>
      <c r="BK77" s="5"/>
      <c r="BL77" s="5">
        <f t="shared" si="15"/>
        <v>0</v>
      </c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>
        <f t="shared" si="16"/>
        <v>0</v>
      </c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>
        <f t="shared" si="17"/>
        <v>0</v>
      </c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7"/>
      <c r="CZ77" s="7"/>
      <c r="DA77" s="7"/>
      <c r="DB77" s="7"/>
      <c r="DC77" s="7"/>
      <c r="DD77" s="7"/>
      <c r="DE77" s="7"/>
      <c r="DF77" s="7"/>
      <c r="DG77" s="7"/>
      <c r="DH77" s="7"/>
      <c r="DI77" s="7"/>
      <c r="DJ77" s="7"/>
      <c r="DK77" s="7"/>
      <c r="DL77" s="7"/>
      <c r="DM77" s="7"/>
      <c r="DN77" s="7"/>
      <c r="DO77" s="7"/>
      <c r="DP77" s="7"/>
      <c r="DQ77" s="7"/>
      <c r="DR77" s="7"/>
      <c r="DS77" s="7"/>
      <c r="DT77" s="7"/>
      <c r="DU77" s="7"/>
      <c r="DV77" s="7"/>
      <c r="DW77" s="7"/>
      <c r="DX77" s="7"/>
      <c r="DY77" s="7"/>
      <c r="DZ77" s="7"/>
    </row>
    <row r="78" spans="1:130">
      <c r="A78" s="4">
        <v>570</v>
      </c>
      <c r="B78" s="4">
        <v>3490</v>
      </c>
      <c r="C78" s="4">
        <v>2493</v>
      </c>
      <c r="D78" s="4">
        <v>551</v>
      </c>
      <c r="E78" s="4"/>
      <c r="F78" s="4"/>
      <c r="G78" s="4"/>
      <c r="H78" s="4"/>
      <c r="I78" s="4"/>
      <c r="J78" s="4"/>
      <c r="K78" s="5"/>
      <c r="L78" s="4" t="s">
        <v>178</v>
      </c>
      <c r="M78" s="8" t="s">
        <v>179</v>
      </c>
      <c r="N78" s="4"/>
      <c r="O78" s="8"/>
      <c r="P78" s="8"/>
      <c r="Q78" s="5">
        <v>0</v>
      </c>
      <c r="R78" s="5">
        <v>4680</v>
      </c>
      <c r="S78" s="5">
        <v>0</v>
      </c>
      <c r="T78" s="5">
        <f>SUM(R78:S78)</f>
        <v>4680</v>
      </c>
      <c r="U78" s="5">
        <f>(T78-Q78)</f>
        <v>4680</v>
      </c>
      <c r="V78" s="4" t="s">
        <v>112</v>
      </c>
      <c r="W78" s="5">
        <v>4680</v>
      </c>
      <c r="X78" s="5">
        <v>0</v>
      </c>
      <c r="Y78" s="5">
        <f t="shared" si="12"/>
        <v>0</v>
      </c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>
        <f t="shared" si="13"/>
        <v>0</v>
      </c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>
        <f t="shared" si="14"/>
        <v>0</v>
      </c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>
        <f t="shared" si="15"/>
        <v>0</v>
      </c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>
        <f t="shared" si="16"/>
        <v>0</v>
      </c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>
        <f t="shared" si="17"/>
        <v>0</v>
      </c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7"/>
      <c r="CZ78" s="7"/>
      <c r="DA78" s="7"/>
      <c r="DB78" s="7"/>
      <c r="DC78" s="7"/>
      <c r="DD78" s="7"/>
      <c r="DE78" s="7"/>
      <c r="DF78" s="7"/>
      <c r="DG78" s="7"/>
      <c r="DH78" s="7"/>
      <c r="DI78" s="7"/>
      <c r="DJ78" s="7"/>
      <c r="DK78" s="7"/>
      <c r="DL78" s="7"/>
      <c r="DM78" s="7"/>
      <c r="DN78" s="7"/>
      <c r="DO78" s="7"/>
      <c r="DP78" s="7"/>
      <c r="DQ78" s="7"/>
      <c r="DR78" s="7"/>
      <c r="DS78" s="7"/>
      <c r="DT78" s="7"/>
      <c r="DU78" s="7"/>
      <c r="DV78" s="7"/>
      <c r="DW78" s="7"/>
      <c r="DX78" s="7"/>
      <c r="DY78" s="7"/>
      <c r="DZ78" s="7"/>
    </row>
    <row r="79" spans="1:130">
      <c r="A79" s="4">
        <v>570</v>
      </c>
      <c r="B79" s="4">
        <v>3490</v>
      </c>
      <c r="C79" s="4">
        <v>2493</v>
      </c>
      <c r="D79" s="4">
        <v>551</v>
      </c>
      <c r="E79" s="4">
        <v>-1</v>
      </c>
      <c r="F79" s="4"/>
      <c r="G79" s="4"/>
      <c r="H79" s="4"/>
      <c r="I79" s="4"/>
      <c r="J79" s="4"/>
      <c r="K79" s="5"/>
      <c r="L79" s="4" t="s">
        <v>113</v>
      </c>
      <c r="M79" s="8"/>
      <c r="N79" s="4"/>
      <c r="O79" s="8"/>
      <c r="P79" s="8"/>
      <c r="Q79" s="5"/>
      <c r="R79" s="5"/>
      <c r="S79" s="5"/>
      <c r="T79" s="5"/>
      <c r="U79" s="5"/>
      <c r="V79" s="4" t="s">
        <v>114</v>
      </c>
      <c r="W79" s="5"/>
      <c r="X79" s="5">
        <v>0</v>
      </c>
      <c r="Y79" s="5">
        <f t="shared" si="12"/>
        <v>0</v>
      </c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>
        <v>0</v>
      </c>
      <c r="AL79" s="5">
        <f t="shared" si="13"/>
        <v>0</v>
      </c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>
        <f t="shared" si="14"/>
        <v>0</v>
      </c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>
        <f t="shared" si="15"/>
        <v>0</v>
      </c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>
        <f t="shared" si="16"/>
        <v>0</v>
      </c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>
        <f t="shared" si="17"/>
        <v>0</v>
      </c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7"/>
      <c r="CZ79" s="7"/>
      <c r="DA79" s="7"/>
      <c r="DB79" s="7"/>
      <c r="DC79" s="7"/>
      <c r="DD79" s="7"/>
      <c r="DE79" s="7"/>
      <c r="DF79" s="7"/>
      <c r="DG79" s="7"/>
      <c r="DH79" s="7"/>
      <c r="DI79" s="7"/>
      <c r="DJ79" s="7"/>
      <c r="DK79" s="7"/>
      <c r="DL79" s="7"/>
      <c r="DM79" s="7"/>
      <c r="DN79" s="7"/>
      <c r="DO79" s="7"/>
      <c r="DP79" s="7"/>
      <c r="DQ79" s="7"/>
      <c r="DR79" s="7"/>
      <c r="DS79" s="7"/>
      <c r="DT79" s="7"/>
      <c r="DU79" s="7"/>
      <c r="DV79" s="7"/>
      <c r="DW79" s="7"/>
      <c r="DX79" s="7"/>
      <c r="DY79" s="7"/>
      <c r="DZ79" s="7"/>
    </row>
    <row r="80" spans="1:130">
      <c r="A80" s="4">
        <v>570</v>
      </c>
      <c r="B80" s="4">
        <v>3490</v>
      </c>
      <c r="C80" s="4">
        <v>2493</v>
      </c>
      <c r="D80" s="4">
        <v>551</v>
      </c>
      <c r="E80" s="4">
        <v>965859</v>
      </c>
      <c r="F80" s="4"/>
      <c r="G80" s="4"/>
      <c r="H80" s="4"/>
      <c r="I80" s="4"/>
      <c r="J80" s="4"/>
      <c r="K80" s="5"/>
      <c r="L80" s="4" t="s">
        <v>113</v>
      </c>
      <c r="M80" s="8"/>
      <c r="N80" s="4" t="s">
        <v>180</v>
      </c>
      <c r="O80" s="8" t="s">
        <v>181</v>
      </c>
      <c r="P80" s="8" t="s">
        <v>182</v>
      </c>
      <c r="Q80" s="5"/>
      <c r="R80" s="5">
        <v>4680</v>
      </c>
      <c r="S80" s="5"/>
      <c r="T80" s="5"/>
      <c r="U80" s="5"/>
      <c r="V80" s="4" t="s">
        <v>120</v>
      </c>
      <c r="W80" s="5"/>
      <c r="X80" s="5"/>
      <c r="Y80" s="5">
        <f t="shared" si="12"/>
        <v>4679.9999999999991</v>
      </c>
      <c r="Z80" s="5">
        <v>396.39</v>
      </c>
      <c r="AA80" s="5">
        <v>370.82</v>
      </c>
      <c r="AB80" s="5">
        <v>396.39</v>
      </c>
      <c r="AC80" s="5">
        <v>383.61</v>
      </c>
      <c r="AD80" s="5">
        <v>396.39</v>
      </c>
      <c r="AE80" s="5">
        <v>383.61</v>
      </c>
      <c r="AF80" s="5">
        <v>396.39</v>
      </c>
      <c r="AG80" s="5">
        <v>396.39</v>
      </c>
      <c r="AH80" s="5">
        <v>383.61</v>
      </c>
      <c r="AI80" s="5">
        <v>396.39</v>
      </c>
      <c r="AJ80" s="5">
        <v>383.61</v>
      </c>
      <c r="AK80" s="5">
        <v>396.4</v>
      </c>
      <c r="AL80" s="5">
        <f t="shared" si="13"/>
        <v>0</v>
      </c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>
        <f t="shared" si="14"/>
        <v>0</v>
      </c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>
        <f t="shared" si="15"/>
        <v>0</v>
      </c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>
        <f t="shared" si="16"/>
        <v>0</v>
      </c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>
        <f t="shared" si="17"/>
        <v>0</v>
      </c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7"/>
      <c r="CZ80" s="7"/>
      <c r="DA80" s="7"/>
      <c r="DB80" s="7"/>
      <c r="DC80" s="7"/>
      <c r="DD80" s="7"/>
      <c r="DE80" s="7"/>
      <c r="DF80" s="7"/>
      <c r="DG80" s="7"/>
      <c r="DH80" s="7"/>
      <c r="DI80" s="7"/>
      <c r="DJ80" s="7"/>
      <c r="DK80" s="7"/>
      <c r="DL80" s="7"/>
      <c r="DM80" s="7"/>
      <c r="DN80" s="7"/>
      <c r="DO80" s="7"/>
      <c r="DP80" s="7"/>
      <c r="DQ80" s="7"/>
      <c r="DR80" s="7"/>
      <c r="DS80" s="7"/>
      <c r="DT80" s="7"/>
      <c r="DU80" s="7"/>
      <c r="DV80" s="7"/>
      <c r="DW80" s="7"/>
      <c r="DX80" s="7"/>
      <c r="DY80" s="7"/>
      <c r="DZ80" s="7"/>
    </row>
    <row r="81" spans="1:130">
      <c r="A81" s="4">
        <v>570</v>
      </c>
      <c r="B81" s="4">
        <v>3490</v>
      </c>
      <c r="C81" s="4">
        <v>2493</v>
      </c>
      <c r="D81" s="4">
        <v>551</v>
      </c>
      <c r="E81" s="4">
        <v>965859</v>
      </c>
      <c r="F81" s="4"/>
      <c r="G81" s="4"/>
      <c r="H81" s="4"/>
      <c r="I81" s="4"/>
      <c r="J81" s="4"/>
      <c r="K81" s="5"/>
      <c r="L81" s="4" t="s">
        <v>113</v>
      </c>
      <c r="M81" s="8"/>
      <c r="N81" s="4" t="s">
        <v>180</v>
      </c>
      <c r="O81" s="8" t="s">
        <v>181</v>
      </c>
      <c r="P81" s="8" t="s">
        <v>182</v>
      </c>
      <c r="Q81" s="5"/>
      <c r="R81" s="5">
        <v>0</v>
      </c>
      <c r="S81" s="5"/>
      <c r="T81" s="5"/>
      <c r="U81" s="5"/>
      <c r="V81" s="4" t="s">
        <v>121</v>
      </c>
      <c r="W81" s="5">
        <v>4680</v>
      </c>
      <c r="X81" s="5"/>
      <c r="Y81" s="5">
        <f t="shared" si="12"/>
        <v>1560</v>
      </c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>
        <v>1560</v>
      </c>
      <c r="AL81" s="5">
        <f t="shared" si="13"/>
        <v>1560</v>
      </c>
      <c r="AM81" s="5"/>
      <c r="AN81" s="5">
        <v>1560</v>
      </c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>
        <f t="shared" si="14"/>
        <v>1560</v>
      </c>
      <c r="AZ81" s="5"/>
      <c r="BA81" s="5"/>
      <c r="BB81" s="5">
        <v>1560</v>
      </c>
      <c r="BC81" s="5"/>
      <c r="BD81" s="5"/>
      <c r="BE81" s="5"/>
      <c r="BF81" s="5"/>
      <c r="BG81" s="5"/>
      <c r="BH81" s="5"/>
      <c r="BI81" s="5"/>
      <c r="BJ81" s="5"/>
      <c r="BK81" s="5"/>
      <c r="BL81" s="5">
        <f t="shared" si="15"/>
        <v>0</v>
      </c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>
        <f t="shared" si="16"/>
        <v>0</v>
      </c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>
        <f t="shared" si="17"/>
        <v>0</v>
      </c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7"/>
      <c r="CZ81" s="7"/>
      <c r="DA81" s="7"/>
      <c r="DB81" s="7"/>
      <c r="DC81" s="7"/>
      <c r="DD81" s="7"/>
      <c r="DE81" s="7"/>
      <c r="DF81" s="7"/>
      <c r="DG81" s="7"/>
      <c r="DH81" s="7"/>
      <c r="DI81" s="7"/>
      <c r="DJ81" s="7"/>
      <c r="DK81" s="7"/>
      <c r="DL81" s="7"/>
      <c r="DM81" s="7"/>
      <c r="DN81" s="7"/>
      <c r="DO81" s="7"/>
      <c r="DP81" s="7"/>
      <c r="DQ81" s="7"/>
      <c r="DR81" s="7"/>
      <c r="DS81" s="7"/>
      <c r="DT81" s="7"/>
      <c r="DU81" s="7"/>
      <c r="DV81" s="7"/>
      <c r="DW81" s="7"/>
      <c r="DX81" s="7"/>
      <c r="DY81" s="7"/>
      <c r="DZ81" s="7"/>
    </row>
    <row r="82" spans="1:130">
      <c r="A82" s="4">
        <v>600</v>
      </c>
      <c r="B82" s="4">
        <v>3490</v>
      </c>
      <c r="C82" s="4">
        <v>2493</v>
      </c>
      <c r="D82" s="4">
        <v>464</v>
      </c>
      <c r="E82" s="4"/>
      <c r="F82" s="4"/>
      <c r="G82" s="4"/>
      <c r="H82" s="4"/>
      <c r="I82" s="4"/>
      <c r="J82" s="4"/>
      <c r="K82" s="5"/>
      <c r="L82" s="4" t="s">
        <v>183</v>
      </c>
      <c r="M82" s="8" t="s">
        <v>184</v>
      </c>
      <c r="N82" s="4"/>
      <c r="O82" s="8"/>
      <c r="P82" s="8"/>
      <c r="Q82" s="5">
        <v>253169.82</v>
      </c>
      <c r="R82" s="5">
        <v>264056.40000000002</v>
      </c>
      <c r="S82" s="5">
        <v>0</v>
      </c>
      <c r="T82" s="5">
        <f>SUM(R82:S82)</f>
        <v>264056.40000000002</v>
      </c>
      <c r="U82" s="5">
        <f>(T82-Q82)</f>
        <v>10886.580000000016</v>
      </c>
      <c r="V82" s="4" t="s">
        <v>112</v>
      </c>
      <c r="W82" s="5">
        <v>220702.5</v>
      </c>
      <c r="X82" s="5">
        <v>43353.9</v>
      </c>
      <c r="Y82" s="5">
        <f t="shared" si="12"/>
        <v>0</v>
      </c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>
        <f t="shared" si="13"/>
        <v>0</v>
      </c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>
        <f t="shared" si="14"/>
        <v>253169.82</v>
      </c>
      <c r="AZ82" s="5">
        <v>253169.82</v>
      </c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>
        <f t="shared" si="15"/>
        <v>0</v>
      </c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>
        <f t="shared" si="16"/>
        <v>0</v>
      </c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>
        <f t="shared" si="17"/>
        <v>0</v>
      </c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7"/>
      <c r="CZ82" s="7"/>
      <c r="DA82" s="7"/>
      <c r="DB82" s="7"/>
      <c r="DC82" s="7"/>
      <c r="DD82" s="7"/>
      <c r="DE82" s="7"/>
      <c r="DF82" s="7"/>
      <c r="DG82" s="7"/>
      <c r="DH82" s="7"/>
      <c r="DI82" s="7"/>
      <c r="DJ82" s="7"/>
      <c r="DK82" s="7"/>
      <c r="DL82" s="7"/>
      <c r="DM82" s="7"/>
      <c r="DN82" s="7"/>
      <c r="DO82" s="7"/>
      <c r="DP82" s="7"/>
      <c r="DQ82" s="7"/>
      <c r="DR82" s="7"/>
      <c r="DS82" s="7"/>
      <c r="DT82" s="7"/>
      <c r="DU82" s="7"/>
      <c r="DV82" s="7"/>
      <c r="DW82" s="7"/>
      <c r="DX82" s="7"/>
      <c r="DY82" s="7"/>
      <c r="DZ82" s="7"/>
    </row>
    <row r="83" spans="1:130">
      <c r="A83" s="4">
        <v>600</v>
      </c>
      <c r="B83" s="4">
        <v>3490</v>
      </c>
      <c r="C83" s="4">
        <v>2493</v>
      </c>
      <c r="D83" s="4">
        <v>464</v>
      </c>
      <c r="E83" s="4">
        <v>-1</v>
      </c>
      <c r="F83" s="4"/>
      <c r="G83" s="4"/>
      <c r="H83" s="4"/>
      <c r="I83" s="4"/>
      <c r="J83" s="4"/>
      <c r="K83" s="5"/>
      <c r="L83" s="4" t="s">
        <v>113</v>
      </c>
      <c r="M83" s="8"/>
      <c r="N83" s="4"/>
      <c r="O83" s="8"/>
      <c r="P83" s="8"/>
      <c r="Q83" s="5"/>
      <c r="R83" s="5"/>
      <c r="S83" s="5"/>
      <c r="T83" s="5"/>
      <c r="U83" s="5"/>
      <c r="V83" s="4" t="s">
        <v>114</v>
      </c>
      <c r="W83" s="5"/>
      <c r="X83" s="5">
        <v>0</v>
      </c>
      <c r="Y83" s="5">
        <f t="shared" si="12"/>
        <v>0</v>
      </c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>
        <f t="shared" si="13"/>
        <v>0</v>
      </c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>
        <f t="shared" si="14"/>
        <v>0</v>
      </c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>
        <f t="shared" si="15"/>
        <v>0</v>
      </c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>
        <f t="shared" si="16"/>
        <v>0</v>
      </c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>
        <f t="shared" si="17"/>
        <v>0</v>
      </c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7"/>
      <c r="CZ83" s="7"/>
      <c r="DA83" s="7"/>
      <c r="DB83" s="7"/>
      <c r="DC83" s="7"/>
      <c r="DD83" s="7"/>
      <c r="DE83" s="7"/>
      <c r="DF83" s="7"/>
      <c r="DG83" s="7"/>
      <c r="DH83" s="7"/>
      <c r="DI83" s="7"/>
      <c r="DJ83" s="7"/>
      <c r="DK83" s="7"/>
      <c r="DL83" s="7"/>
      <c r="DM83" s="7"/>
      <c r="DN83" s="7"/>
      <c r="DO83" s="7"/>
      <c r="DP83" s="7"/>
      <c r="DQ83" s="7"/>
      <c r="DR83" s="7"/>
      <c r="DS83" s="7"/>
      <c r="DT83" s="7"/>
      <c r="DU83" s="7"/>
      <c r="DV83" s="7"/>
      <c r="DW83" s="7"/>
      <c r="DX83" s="7"/>
      <c r="DY83" s="7"/>
      <c r="DZ83" s="7"/>
    </row>
    <row r="84" spans="1:130">
      <c r="A84" s="4">
        <v>610</v>
      </c>
      <c r="B84" s="4">
        <v>3490</v>
      </c>
      <c r="C84" s="4">
        <v>2493</v>
      </c>
      <c r="D84" s="4">
        <v>465</v>
      </c>
      <c r="E84" s="4"/>
      <c r="F84" s="4"/>
      <c r="G84" s="4"/>
      <c r="H84" s="4"/>
      <c r="I84" s="4"/>
      <c r="J84" s="4"/>
      <c r="K84" s="5"/>
      <c r="L84" s="4" t="s">
        <v>185</v>
      </c>
      <c r="M84" s="8" t="s">
        <v>186</v>
      </c>
      <c r="N84" s="4"/>
      <c r="O84" s="8"/>
      <c r="P84" s="8"/>
      <c r="Q84" s="5">
        <v>203169.82</v>
      </c>
      <c r="R84" s="5">
        <v>193239.9</v>
      </c>
      <c r="S84" s="5">
        <v>0</v>
      </c>
      <c r="T84" s="5">
        <f>SUM(R84:S84)</f>
        <v>193239.9</v>
      </c>
      <c r="U84" s="5">
        <f>(T84-Q84)</f>
        <v>-9929.9200000000128</v>
      </c>
      <c r="V84" s="4" t="s">
        <v>112</v>
      </c>
      <c r="W84" s="5">
        <v>173916</v>
      </c>
      <c r="X84" s="5">
        <v>19323.900000000001</v>
      </c>
      <c r="Y84" s="5">
        <f t="shared" si="12"/>
        <v>0</v>
      </c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>
        <f t="shared" si="13"/>
        <v>0</v>
      </c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>
        <f t="shared" si="14"/>
        <v>203169.82</v>
      </c>
      <c r="AZ84" s="5">
        <v>203169.82</v>
      </c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>
        <f t="shared" si="15"/>
        <v>0</v>
      </c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>
        <f t="shared" si="16"/>
        <v>0</v>
      </c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>
        <f t="shared" si="17"/>
        <v>0</v>
      </c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7"/>
      <c r="CZ84" s="7"/>
      <c r="DA84" s="7"/>
      <c r="DB84" s="7"/>
      <c r="DC84" s="7"/>
      <c r="DD84" s="7"/>
      <c r="DE84" s="7"/>
      <c r="DF84" s="7"/>
      <c r="DG84" s="7"/>
      <c r="DH84" s="7"/>
      <c r="DI84" s="7"/>
      <c r="DJ84" s="7"/>
      <c r="DK84" s="7"/>
      <c r="DL84" s="7"/>
      <c r="DM84" s="7"/>
      <c r="DN84" s="7"/>
      <c r="DO84" s="7"/>
      <c r="DP84" s="7"/>
      <c r="DQ84" s="7"/>
      <c r="DR84" s="7"/>
      <c r="DS84" s="7"/>
      <c r="DT84" s="7"/>
      <c r="DU84" s="7"/>
      <c r="DV84" s="7"/>
      <c r="DW84" s="7"/>
      <c r="DX84" s="7"/>
      <c r="DY84" s="7"/>
      <c r="DZ84" s="7"/>
    </row>
    <row r="85" spans="1:130">
      <c r="A85" s="4">
        <v>610</v>
      </c>
      <c r="B85" s="4">
        <v>3490</v>
      </c>
      <c r="C85" s="4">
        <v>2493</v>
      </c>
      <c r="D85" s="4">
        <v>465</v>
      </c>
      <c r="E85" s="4">
        <v>-1</v>
      </c>
      <c r="F85" s="4"/>
      <c r="G85" s="4"/>
      <c r="H85" s="4"/>
      <c r="I85" s="4"/>
      <c r="J85" s="4"/>
      <c r="K85" s="5"/>
      <c r="L85" s="4" t="s">
        <v>113</v>
      </c>
      <c r="M85" s="8"/>
      <c r="N85" s="4"/>
      <c r="O85" s="8"/>
      <c r="P85" s="8"/>
      <c r="Q85" s="5"/>
      <c r="R85" s="5"/>
      <c r="S85" s="5"/>
      <c r="T85" s="5"/>
      <c r="U85" s="5"/>
      <c r="V85" s="4" t="s">
        <v>114</v>
      </c>
      <c r="W85" s="5"/>
      <c r="X85" s="5">
        <v>0</v>
      </c>
      <c r="Y85" s="5">
        <f t="shared" si="12"/>
        <v>0</v>
      </c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>
        <f t="shared" si="13"/>
        <v>0</v>
      </c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>
        <f t="shared" si="14"/>
        <v>0</v>
      </c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>
        <f t="shared" si="15"/>
        <v>0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>
        <f t="shared" si="16"/>
        <v>0</v>
      </c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>
        <f t="shared" si="17"/>
        <v>0</v>
      </c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7"/>
      <c r="CZ85" s="7"/>
      <c r="DA85" s="7"/>
      <c r="DB85" s="7"/>
      <c r="DC85" s="7"/>
      <c r="DD85" s="7"/>
      <c r="DE85" s="7"/>
      <c r="DF85" s="7"/>
      <c r="DG85" s="7"/>
      <c r="DH85" s="7"/>
      <c r="DI85" s="7"/>
      <c r="DJ85" s="7"/>
      <c r="DK85" s="7"/>
      <c r="DL85" s="7"/>
      <c r="DM85" s="7"/>
      <c r="DN85" s="7"/>
      <c r="DO85" s="7"/>
      <c r="DP85" s="7"/>
      <c r="DQ85" s="7"/>
      <c r="DR85" s="7"/>
      <c r="DS85" s="7"/>
      <c r="DT85" s="7"/>
      <c r="DU85" s="7"/>
      <c r="DV85" s="7"/>
      <c r="DW85" s="7"/>
      <c r="DX85" s="7"/>
      <c r="DY85" s="7"/>
      <c r="DZ85" s="7"/>
    </row>
    <row r="86" spans="1:130" ht="26">
      <c r="A86" s="4">
        <v>610</v>
      </c>
      <c r="B86" s="4">
        <v>3490</v>
      </c>
      <c r="C86" s="4">
        <v>2493</v>
      </c>
      <c r="D86" s="4">
        <v>465</v>
      </c>
      <c r="E86" s="4">
        <v>985693</v>
      </c>
      <c r="F86" s="4"/>
      <c r="G86" s="4"/>
      <c r="H86" s="4"/>
      <c r="I86" s="4"/>
      <c r="J86" s="4"/>
      <c r="K86" s="5"/>
      <c r="L86" s="4" t="s">
        <v>113</v>
      </c>
      <c r="M86" s="8"/>
      <c r="N86" s="4" t="s">
        <v>187</v>
      </c>
      <c r="O86" s="8" t="s">
        <v>168</v>
      </c>
      <c r="P86" s="8" t="s">
        <v>188</v>
      </c>
      <c r="Q86" s="5"/>
      <c r="R86" s="5">
        <v>193239.9</v>
      </c>
      <c r="S86" s="5"/>
      <c r="T86" s="5"/>
      <c r="U86" s="5"/>
      <c r="V86" s="4" t="s">
        <v>120</v>
      </c>
      <c r="W86" s="5"/>
      <c r="X86" s="5"/>
      <c r="Y86" s="5">
        <f t="shared" si="12"/>
        <v>0</v>
      </c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>
        <f t="shared" si="13"/>
        <v>0</v>
      </c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>
        <f t="shared" si="14"/>
        <v>0</v>
      </c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>
        <f t="shared" si="15"/>
        <v>193239.90000000002</v>
      </c>
      <c r="BM86" s="5"/>
      <c r="BN86" s="5"/>
      <c r="BO86" s="5"/>
      <c r="BP86" s="5">
        <v>21080.720000000001</v>
      </c>
      <c r="BQ86" s="5">
        <v>21783.41</v>
      </c>
      <c r="BR86" s="5">
        <v>21080.720000000001</v>
      </c>
      <c r="BS86" s="5">
        <v>21783.41</v>
      </c>
      <c r="BT86" s="5">
        <v>21783.41</v>
      </c>
      <c r="BU86" s="5">
        <v>21080.720000000001</v>
      </c>
      <c r="BV86" s="5">
        <v>21783.41</v>
      </c>
      <c r="BW86" s="5">
        <v>21080.720000000001</v>
      </c>
      <c r="BX86" s="5">
        <v>21783.38</v>
      </c>
      <c r="BY86" s="5">
        <f t="shared" si="16"/>
        <v>0</v>
      </c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>
        <f t="shared" si="17"/>
        <v>0</v>
      </c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7"/>
      <c r="CZ86" s="7"/>
      <c r="DA86" s="7"/>
      <c r="DB86" s="7"/>
      <c r="DC86" s="7"/>
      <c r="DD86" s="7"/>
      <c r="DE86" s="7"/>
      <c r="DF86" s="7"/>
      <c r="DG86" s="7"/>
      <c r="DH86" s="7"/>
      <c r="DI86" s="7"/>
      <c r="DJ86" s="7"/>
      <c r="DK86" s="7"/>
      <c r="DL86" s="7"/>
      <c r="DM86" s="7"/>
      <c r="DN86" s="7"/>
      <c r="DO86" s="7"/>
      <c r="DP86" s="7"/>
      <c r="DQ86" s="7"/>
      <c r="DR86" s="7"/>
      <c r="DS86" s="7"/>
      <c r="DT86" s="7"/>
      <c r="DU86" s="7"/>
      <c r="DV86" s="7"/>
      <c r="DW86" s="7"/>
      <c r="DX86" s="7"/>
      <c r="DY86" s="7"/>
      <c r="DZ86" s="7"/>
    </row>
    <row r="87" spans="1:130" ht="26">
      <c r="A87" s="4">
        <v>610</v>
      </c>
      <c r="B87" s="4">
        <v>3490</v>
      </c>
      <c r="C87" s="4">
        <v>2493</v>
      </c>
      <c r="D87" s="4">
        <v>465</v>
      </c>
      <c r="E87" s="4">
        <v>985693</v>
      </c>
      <c r="F87" s="4"/>
      <c r="G87" s="4"/>
      <c r="H87" s="4"/>
      <c r="I87" s="4"/>
      <c r="J87" s="4"/>
      <c r="K87" s="5"/>
      <c r="L87" s="4" t="s">
        <v>113</v>
      </c>
      <c r="M87" s="8"/>
      <c r="N87" s="4" t="s">
        <v>187</v>
      </c>
      <c r="O87" s="8" t="s">
        <v>168</v>
      </c>
      <c r="P87" s="8" t="s">
        <v>188</v>
      </c>
      <c r="Q87" s="5"/>
      <c r="R87" s="5">
        <v>0</v>
      </c>
      <c r="S87" s="5"/>
      <c r="T87" s="5"/>
      <c r="U87" s="5"/>
      <c r="V87" s="4" t="s">
        <v>121</v>
      </c>
      <c r="W87" s="5">
        <v>173916</v>
      </c>
      <c r="X87" s="5"/>
      <c r="Y87" s="5">
        <f t="shared" si="12"/>
        <v>0</v>
      </c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>
        <f t="shared" si="13"/>
        <v>0</v>
      </c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>
        <f t="shared" si="14"/>
        <v>0</v>
      </c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>
        <f t="shared" si="15"/>
        <v>173916</v>
      </c>
      <c r="BM87" s="5"/>
      <c r="BN87" s="5"/>
      <c r="BO87" s="5"/>
      <c r="BP87" s="5"/>
      <c r="BQ87" s="5">
        <v>173916</v>
      </c>
      <c r="BR87" s="5"/>
      <c r="BS87" s="5"/>
      <c r="BT87" s="5"/>
      <c r="BU87" s="5"/>
      <c r="BV87" s="5"/>
      <c r="BW87" s="5"/>
      <c r="BX87" s="5"/>
      <c r="BY87" s="5">
        <f t="shared" si="16"/>
        <v>0</v>
      </c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>
        <f t="shared" si="17"/>
        <v>0</v>
      </c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7"/>
      <c r="CZ87" s="7"/>
      <c r="DA87" s="7"/>
      <c r="DB87" s="7"/>
      <c r="DC87" s="7"/>
      <c r="DD87" s="7"/>
      <c r="DE87" s="7"/>
      <c r="DF87" s="7"/>
      <c r="DG87" s="7"/>
      <c r="DH87" s="7"/>
      <c r="DI87" s="7"/>
      <c r="DJ87" s="7"/>
      <c r="DK87" s="7"/>
      <c r="DL87" s="7"/>
      <c r="DM87" s="7"/>
      <c r="DN87" s="7"/>
      <c r="DO87" s="7"/>
      <c r="DP87" s="7"/>
      <c r="DQ87" s="7"/>
      <c r="DR87" s="7"/>
      <c r="DS87" s="7"/>
      <c r="DT87" s="7"/>
      <c r="DU87" s="7"/>
      <c r="DV87" s="7"/>
      <c r="DW87" s="7"/>
      <c r="DX87" s="7"/>
      <c r="DY87" s="7"/>
      <c r="DZ87" s="7"/>
    </row>
    <row r="88" spans="1:130">
      <c r="A88" s="4">
        <v>640</v>
      </c>
      <c r="B88" s="4">
        <v>3490</v>
      </c>
      <c r="C88" s="4">
        <v>2493</v>
      </c>
      <c r="D88" s="4">
        <v>556</v>
      </c>
      <c r="E88" s="4"/>
      <c r="F88" s="4"/>
      <c r="G88" s="4"/>
      <c r="H88" s="4"/>
      <c r="I88" s="4"/>
      <c r="J88" s="4"/>
      <c r="K88" s="5"/>
      <c r="L88" s="4" t="s">
        <v>189</v>
      </c>
      <c r="M88" s="8" t="s">
        <v>190</v>
      </c>
      <c r="N88" s="4"/>
      <c r="O88" s="8"/>
      <c r="P88" s="8"/>
      <c r="Q88" s="5">
        <v>50000</v>
      </c>
      <c r="R88" s="5">
        <v>70816.5</v>
      </c>
      <c r="S88" s="5">
        <v>0</v>
      </c>
      <c r="T88" s="5">
        <f>SUM(R88:S88)</f>
        <v>70816.5</v>
      </c>
      <c r="U88" s="5">
        <f>(T88-Q88)</f>
        <v>20816.5</v>
      </c>
      <c r="V88" s="4" t="s">
        <v>112</v>
      </c>
      <c r="W88" s="5">
        <v>46786.5</v>
      </c>
      <c r="X88" s="5">
        <v>24030</v>
      </c>
      <c r="Y88" s="5">
        <f t="shared" si="12"/>
        <v>0</v>
      </c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>
        <f t="shared" si="13"/>
        <v>0</v>
      </c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>
        <f t="shared" si="14"/>
        <v>50000</v>
      </c>
      <c r="AZ88" s="5">
        <v>50000</v>
      </c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>
        <f t="shared" si="15"/>
        <v>0</v>
      </c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>
        <f t="shared" si="16"/>
        <v>0</v>
      </c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>
        <f t="shared" si="17"/>
        <v>0</v>
      </c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7"/>
      <c r="CZ88" s="7"/>
      <c r="DA88" s="7"/>
      <c r="DB88" s="7"/>
      <c r="DC88" s="7"/>
      <c r="DD88" s="7"/>
      <c r="DE88" s="7"/>
      <c r="DF88" s="7"/>
      <c r="DG88" s="7"/>
      <c r="DH88" s="7"/>
      <c r="DI88" s="7"/>
      <c r="DJ88" s="7"/>
      <c r="DK88" s="7"/>
      <c r="DL88" s="7"/>
      <c r="DM88" s="7"/>
      <c r="DN88" s="7"/>
      <c r="DO88" s="7"/>
      <c r="DP88" s="7"/>
      <c r="DQ88" s="7"/>
      <c r="DR88" s="7"/>
      <c r="DS88" s="7"/>
      <c r="DT88" s="7"/>
      <c r="DU88" s="7"/>
      <c r="DV88" s="7"/>
      <c r="DW88" s="7"/>
      <c r="DX88" s="7"/>
      <c r="DY88" s="7"/>
      <c r="DZ88" s="7"/>
    </row>
    <row r="89" spans="1:130">
      <c r="A89" s="4">
        <v>640</v>
      </c>
      <c r="B89" s="4">
        <v>3490</v>
      </c>
      <c r="C89" s="4">
        <v>2493</v>
      </c>
      <c r="D89" s="4">
        <v>556</v>
      </c>
      <c r="E89" s="4">
        <v>-1</v>
      </c>
      <c r="F89" s="4"/>
      <c r="G89" s="4"/>
      <c r="H89" s="4"/>
      <c r="I89" s="4"/>
      <c r="J89" s="4"/>
      <c r="K89" s="5"/>
      <c r="L89" s="4" t="s">
        <v>113</v>
      </c>
      <c r="M89" s="8"/>
      <c r="N89" s="4"/>
      <c r="O89" s="8"/>
      <c r="P89" s="8"/>
      <c r="Q89" s="5"/>
      <c r="R89" s="5"/>
      <c r="S89" s="5"/>
      <c r="T89" s="5"/>
      <c r="U89" s="5"/>
      <c r="V89" s="4" t="s">
        <v>114</v>
      </c>
      <c r="W89" s="5"/>
      <c r="X89" s="5">
        <v>0</v>
      </c>
      <c r="Y89" s="5">
        <f t="shared" si="12"/>
        <v>0</v>
      </c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>
        <f t="shared" si="13"/>
        <v>0</v>
      </c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>
        <f t="shared" si="14"/>
        <v>0</v>
      </c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>
        <f t="shared" si="15"/>
        <v>0</v>
      </c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>
        <f t="shared" si="16"/>
        <v>0</v>
      </c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>
        <f t="shared" si="17"/>
        <v>0</v>
      </c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7"/>
      <c r="CZ89" s="7"/>
      <c r="DA89" s="7"/>
      <c r="DB89" s="7"/>
      <c r="DC89" s="7"/>
      <c r="DD89" s="7"/>
      <c r="DE89" s="7"/>
      <c r="DF89" s="7"/>
      <c r="DG89" s="7"/>
      <c r="DH89" s="7"/>
      <c r="DI89" s="7"/>
      <c r="DJ89" s="7"/>
      <c r="DK89" s="7"/>
      <c r="DL89" s="7"/>
      <c r="DM89" s="7"/>
      <c r="DN89" s="7"/>
      <c r="DO89" s="7"/>
      <c r="DP89" s="7"/>
      <c r="DQ89" s="7"/>
      <c r="DR89" s="7"/>
      <c r="DS89" s="7"/>
      <c r="DT89" s="7"/>
      <c r="DU89" s="7"/>
      <c r="DV89" s="7"/>
      <c r="DW89" s="7"/>
      <c r="DX89" s="7"/>
      <c r="DY89" s="7"/>
      <c r="DZ89" s="7"/>
    </row>
    <row r="90" spans="1:130">
      <c r="A90" s="4">
        <v>640</v>
      </c>
      <c r="B90" s="4">
        <v>3490</v>
      </c>
      <c r="C90" s="4">
        <v>2493</v>
      </c>
      <c r="D90" s="4">
        <v>556</v>
      </c>
      <c r="E90" s="4">
        <v>965874</v>
      </c>
      <c r="F90" s="4"/>
      <c r="G90" s="4"/>
      <c r="H90" s="4"/>
      <c r="I90" s="4"/>
      <c r="J90" s="4"/>
      <c r="K90" s="5"/>
      <c r="L90" s="4" t="s">
        <v>113</v>
      </c>
      <c r="M90" s="8"/>
      <c r="N90" s="4" t="s">
        <v>191</v>
      </c>
      <c r="O90" s="8" t="s">
        <v>192</v>
      </c>
      <c r="P90" s="8" t="s">
        <v>193</v>
      </c>
      <c r="Q90" s="5"/>
      <c r="R90" s="5">
        <v>24030</v>
      </c>
      <c r="S90" s="5"/>
      <c r="T90" s="5"/>
      <c r="U90" s="5"/>
      <c r="V90" s="4" t="s">
        <v>120</v>
      </c>
      <c r="W90" s="5"/>
      <c r="X90" s="5"/>
      <c r="Y90" s="5">
        <f t="shared" si="12"/>
        <v>0</v>
      </c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>
        <f t="shared" si="13"/>
        <v>0</v>
      </c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>
        <f t="shared" si="14"/>
        <v>0</v>
      </c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>
        <f t="shared" si="15"/>
        <v>24030</v>
      </c>
      <c r="BM90" s="5">
        <v>2040.9</v>
      </c>
      <c r="BN90" s="5">
        <v>1843.4</v>
      </c>
      <c r="BO90" s="5">
        <v>2040.9</v>
      </c>
      <c r="BP90" s="5">
        <v>1975.07</v>
      </c>
      <c r="BQ90" s="5">
        <v>2040.9</v>
      </c>
      <c r="BR90" s="5">
        <v>1975.07</v>
      </c>
      <c r="BS90" s="5">
        <v>2040.9</v>
      </c>
      <c r="BT90" s="5">
        <v>2040.9</v>
      </c>
      <c r="BU90" s="5">
        <v>1975.07</v>
      </c>
      <c r="BV90" s="5">
        <v>2040.9</v>
      </c>
      <c r="BW90" s="5">
        <v>1975.07</v>
      </c>
      <c r="BX90" s="5">
        <v>2040.92</v>
      </c>
      <c r="BY90" s="5">
        <f t="shared" si="16"/>
        <v>0</v>
      </c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>
        <f t="shared" si="17"/>
        <v>0</v>
      </c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7"/>
      <c r="CZ90" s="7"/>
      <c r="DA90" s="7"/>
      <c r="DB90" s="7"/>
      <c r="DC90" s="7"/>
      <c r="DD90" s="7"/>
      <c r="DE90" s="7"/>
      <c r="DF90" s="7"/>
      <c r="DG90" s="7"/>
      <c r="DH90" s="7"/>
      <c r="DI90" s="7"/>
      <c r="DJ90" s="7"/>
      <c r="DK90" s="7"/>
      <c r="DL90" s="7"/>
      <c r="DM90" s="7"/>
      <c r="DN90" s="7"/>
      <c r="DO90" s="7"/>
      <c r="DP90" s="7"/>
      <c r="DQ90" s="7"/>
      <c r="DR90" s="7"/>
      <c r="DS90" s="7"/>
      <c r="DT90" s="7"/>
      <c r="DU90" s="7"/>
      <c r="DV90" s="7"/>
      <c r="DW90" s="7"/>
      <c r="DX90" s="7"/>
      <c r="DY90" s="7"/>
      <c r="DZ90" s="7"/>
    </row>
    <row r="91" spans="1:130" ht="26">
      <c r="A91" s="4">
        <v>640</v>
      </c>
      <c r="B91" s="4">
        <v>3490</v>
      </c>
      <c r="C91" s="4">
        <v>2493</v>
      </c>
      <c r="D91" s="4">
        <v>556</v>
      </c>
      <c r="E91" s="4">
        <v>965863</v>
      </c>
      <c r="F91" s="4"/>
      <c r="G91" s="4"/>
      <c r="H91" s="4"/>
      <c r="I91" s="4"/>
      <c r="J91" s="4"/>
      <c r="K91" s="5"/>
      <c r="L91" s="4" t="s">
        <v>113</v>
      </c>
      <c r="M91" s="8"/>
      <c r="N91" s="4" t="s">
        <v>194</v>
      </c>
      <c r="O91" s="8" t="s">
        <v>192</v>
      </c>
      <c r="P91" s="8" t="s">
        <v>195</v>
      </c>
      <c r="Q91" s="5"/>
      <c r="R91" s="5">
        <v>46786.5</v>
      </c>
      <c r="S91" s="5"/>
      <c r="T91" s="5"/>
      <c r="U91" s="5"/>
      <c r="V91" s="4" t="s">
        <v>120</v>
      </c>
      <c r="W91" s="5"/>
      <c r="X91" s="5"/>
      <c r="Y91" s="5">
        <f t="shared" si="12"/>
        <v>46786.5</v>
      </c>
      <c r="Z91" s="5">
        <v>3962.79</v>
      </c>
      <c r="AA91" s="5">
        <v>3707.13</v>
      </c>
      <c r="AB91" s="5">
        <v>3962.79</v>
      </c>
      <c r="AC91" s="5">
        <v>3834.96</v>
      </c>
      <c r="AD91" s="5">
        <v>3962.79</v>
      </c>
      <c r="AE91" s="5">
        <v>3834.96</v>
      </c>
      <c r="AF91" s="5">
        <v>3962.79</v>
      </c>
      <c r="AG91" s="5">
        <v>3962.79</v>
      </c>
      <c r="AH91" s="5">
        <v>3834.96</v>
      </c>
      <c r="AI91" s="5">
        <v>3962.79</v>
      </c>
      <c r="AJ91" s="5">
        <v>3834.96</v>
      </c>
      <c r="AK91" s="5">
        <v>3962.79</v>
      </c>
      <c r="AL91" s="5">
        <f t="shared" si="13"/>
        <v>0</v>
      </c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>
        <f t="shared" si="14"/>
        <v>0</v>
      </c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>
        <f t="shared" si="15"/>
        <v>0</v>
      </c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>
        <f t="shared" si="16"/>
        <v>0</v>
      </c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>
        <f t="shared" si="17"/>
        <v>0</v>
      </c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7"/>
      <c r="CZ91" s="7"/>
      <c r="DA91" s="7"/>
      <c r="DB91" s="7"/>
      <c r="DC91" s="7"/>
      <c r="DD91" s="7"/>
      <c r="DE91" s="7"/>
      <c r="DF91" s="7"/>
      <c r="DG91" s="7"/>
      <c r="DH91" s="7"/>
      <c r="DI91" s="7"/>
      <c r="DJ91" s="7"/>
      <c r="DK91" s="7"/>
      <c r="DL91" s="7"/>
      <c r="DM91" s="7"/>
      <c r="DN91" s="7"/>
      <c r="DO91" s="7"/>
      <c r="DP91" s="7"/>
      <c r="DQ91" s="7"/>
      <c r="DR91" s="7"/>
      <c r="DS91" s="7"/>
      <c r="DT91" s="7"/>
      <c r="DU91" s="7"/>
      <c r="DV91" s="7"/>
      <c r="DW91" s="7"/>
      <c r="DX91" s="7"/>
      <c r="DY91" s="7"/>
      <c r="DZ91" s="7"/>
    </row>
    <row r="92" spans="1:130" ht="26">
      <c r="A92" s="4">
        <v>640</v>
      </c>
      <c r="B92" s="4">
        <v>3490</v>
      </c>
      <c r="C92" s="4">
        <v>2493</v>
      </c>
      <c r="D92" s="4">
        <v>556</v>
      </c>
      <c r="E92" s="4">
        <v>965863</v>
      </c>
      <c r="F92" s="4"/>
      <c r="G92" s="4"/>
      <c r="H92" s="4"/>
      <c r="I92" s="4"/>
      <c r="J92" s="4"/>
      <c r="K92" s="5"/>
      <c r="L92" s="4" t="s">
        <v>113</v>
      </c>
      <c r="M92" s="8"/>
      <c r="N92" s="4" t="s">
        <v>194</v>
      </c>
      <c r="O92" s="8" t="s">
        <v>192</v>
      </c>
      <c r="P92" s="8" t="s">
        <v>195</v>
      </c>
      <c r="Q92" s="5"/>
      <c r="R92" s="5">
        <v>0</v>
      </c>
      <c r="S92" s="5"/>
      <c r="T92" s="5"/>
      <c r="U92" s="5"/>
      <c r="V92" s="4" t="s">
        <v>121</v>
      </c>
      <c r="W92" s="5">
        <v>46786.5</v>
      </c>
      <c r="X92" s="5"/>
      <c r="Y92" s="5">
        <f t="shared" si="12"/>
        <v>30632</v>
      </c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>
        <v>30632</v>
      </c>
      <c r="AL92" s="5">
        <f t="shared" si="13"/>
        <v>11154.5</v>
      </c>
      <c r="AM92" s="5"/>
      <c r="AN92" s="5"/>
      <c r="AO92" s="5"/>
      <c r="AP92" s="5"/>
      <c r="AQ92" s="5"/>
      <c r="AR92" s="5"/>
      <c r="AS92" s="5"/>
      <c r="AT92" s="5">
        <v>11154.5</v>
      </c>
      <c r="AU92" s="5"/>
      <c r="AV92" s="5"/>
      <c r="AW92" s="5"/>
      <c r="AX92" s="5"/>
      <c r="AY92" s="5">
        <f t="shared" si="14"/>
        <v>5000</v>
      </c>
      <c r="AZ92" s="5"/>
      <c r="BA92" s="5">
        <v>5000</v>
      </c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>
        <f t="shared" si="15"/>
        <v>0</v>
      </c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>
        <f t="shared" si="16"/>
        <v>0</v>
      </c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>
        <f t="shared" si="17"/>
        <v>0</v>
      </c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7"/>
      <c r="CZ92" s="7"/>
      <c r="DA92" s="7"/>
      <c r="DB92" s="7"/>
      <c r="DC92" s="7"/>
      <c r="DD92" s="7"/>
      <c r="DE92" s="7"/>
      <c r="DF92" s="7"/>
      <c r="DG92" s="7"/>
      <c r="DH92" s="7"/>
      <c r="DI92" s="7"/>
      <c r="DJ92" s="7"/>
      <c r="DK92" s="7"/>
      <c r="DL92" s="7"/>
      <c r="DM92" s="7"/>
      <c r="DN92" s="7"/>
      <c r="DO92" s="7"/>
      <c r="DP92" s="7"/>
      <c r="DQ92" s="7"/>
      <c r="DR92" s="7"/>
      <c r="DS92" s="7"/>
      <c r="DT92" s="7"/>
      <c r="DU92" s="7"/>
      <c r="DV92" s="7"/>
      <c r="DW92" s="7"/>
      <c r="DX92" s="7"/>
      <c r="DY92" s="7"/>
      <c r="DZ92" s="7"/>
    </row>
    <row r="93" spans="1:130" ht="26">
      <c r="A93" s="4">
        <v>690</v>
      </c>
      <c r="B93" s="4">
        <v>3490</v>
      </c>
      <c r="C93" s="4">
        <v>2493</v>
      </c>
      <c r="D93" s="4">
        <v>466</v>
      </c>
      <c r="E93" s="4"/>
      <c r="F93" s="4"/>
      <c r="G93" s="4"/>
      <c r="H93" s="4"/>
      <c r="I93" s="4"/>
      <c r="J93" s="4"/>
      <c r="K93" s="5"/>
      <c r="L93" s="4" t="s">
        <v>196</v>
      </c>
      <c r="M93" s="8" t="s">
        <v>197</v>
      </c>
      <c r="N93" s="4"/>
      <c r="O93" s="8"/>
      <c r="P93" s="8"/>
      <c r="Q93" s="5">
        <v>236633.03</v>
      </c>
      <c r="R93" s="5">
        <v>1872</v>
      </c>
      <c r="S93" s="5">
        <v>235000</v>
      </c>
      <c r="T93" s="5">
        <f>SUM(R93:S93)</f>
        <v>236872</v>
      </c>
      <c r="U93" s="5">
        <f>(T93-Q93)</f>
        <v>238.97000000000116</v>
      </c>
      <c r="V93" s="4" t="s">
        <v>112</v>
      </c>
      <c r="W93" s="5">
        <v>1872</v>
      </c>
      <c r="X93" s="5">
        <v>235000</v>
      </c>
      <c r="Y93" s="5">
        <f t="shared" si="12"/>
        <v>0</v>
      </c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>
        <f t="shared" si="13"/>
        <v>0</v>
      </c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>
        <f t="shared" si="14"/>
        <v>236633.03</v>
      </c>
      <c r="AZ93" s="5">
        <v>236633.03</v>
      </c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>
        <f t="shared" si="15"/>
        <v>0</v>
      </c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>
        <f t="shared" si="16"/>
        <v>0</v>
      </c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>
        <f t="shared" si="17"/>
        <v>0</v>
      </c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7"/>
      <c r="CZ93" s="7"/>
      <c r="DA93" s="7"/>
      <c r="DB93" s="7"/>
      <c r="DC93" s="7"/>
      <c r="DD93" s="7"/>
      <c r="DE93" s="7"/>
      <c r="DF93" s="7"/>
      <c r="DG93" s="7"/>
      <c r="DH93" s="7"/>
      <c r="DI93" s="7"/>
      <c r="DJ93" s="7"/>
      <c r="DK93" s="7"/>
      <c r="DL93" s="7"/>
      <c r="DM93" s="7"/>
      <c r="DN93" s="7"/>
      <c r="DO93" s="7"/>
      <c r="DP93" s="7"/>
      <c r="DQ93" s="7"/>
      <c r="DR93" s="7"/>
      <c r="DS93" s="7"/>
      <c r="DT93" s="7"/>
      <c r="DU93" s="7"/>
      <c r="DV93" s="7"/>
      <c r="DW93" s="7"/>
      <c r="DX93" s="7"/>
      <c r="DY93" s="7"/>
      <c r="DZ93" s="7"/>
    </row>
    <row r="94" spans="1:130">
      <c r="A94" s="4">
        <v>690</v>
      </c>
      <c r="B94" s="4">
        <v>3490</v>
      </c>
      <c r="C94" s="4">
        <v>2493</v>
      </c>
      <c r="D94" s="4">
        <v>466</v>
      </c>
      <c r="E94" s="4">
        <v>-1</v>
      </c>
      <c r="F94" s="4"/>
      <c r="G94" s="4"/>
      <c r="H94" s="4"/>
      <c r="I94" s="4"/>
      <c r="J94" s="4"/>
      <c r="K94" s="5"/>
      <c r="L94" s="4" t="s">
        <v>113</v>
      </c>
      <c r="M94" s="8"/>
      <c r="N94" s="4"/>
      <c r="O94" s="8"/>
      <c r="P94" s="8"/>
      <c r="Q94" s="5"/>
      <c r="R94" s="5"/>
      <c r="S94" s="5"/>
      <c r="T94" s="5"/>
      <c r="U94" s="5"/>
      <c r="V94" s="4" t="s">
        <v>114</v>
      </c>
      <c r="W94" s="5"/>
      <c r="X94" s="5">
        <v>235000</v>
      </c>
      <c r="Y94" s="5">
        <f t="shared" si="12"/>
        <v>0</v>
      </c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>
        <f t="shared" si="13"/>
        <v>0</v>
      </c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>
        <f t="shared" si="14"/>
        <v>0</v>
      </c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>
        <f t="shared" si="15"/>
        <v>0</v>
      </c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>
        <f t="shared" si="16"/>
        <v>0</v>
      </c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>
        <f t="shared" si="17"/>
        <v>0</v>
      </c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7"/>
      <c r="CZ94" s="7"/>
      <c r="DA94" s="7"/>
      <c r="DB94" s="7"/>
      <c r="DC94" s="7"/>
      <c r="DD94" s="7"/>
      <c r="DE94" s="7"/>
      <c r="DF94" s="7"/>
      <c r="DG94" s="7"/>
      <c r="DH94" s="7"/>
      <c r="DI94" s="7"/>
      <c r="DJ94" s="7"/>
      <c r="DK94" s="7"/>
      <c r="DL94" s="7"/>
      <c r="DM94" s="7"/>
      <c r="DN94" s="7"/>
      <c r="DO94" s="7"/>
      <c r="DP94" s="7"/>
      <c r="DQ94" s="7"/>
      <c r="DR94" s="7"/>
      <c r="DS94" s="7"/>
      <c r="DT94" s="7"/>
      <c r="DU94" s="7"/>
      <c r="DV94" s="7"/>
      <c r="DW94" s="7"/>
      <c r="DX94" s="7"/>
      <c r="DY94" s="7"/>
      <c r="DZ94" s="7"/>
    </row>
    <row r="95" spans="1:130">
      <c r="A95" s="4">
        <v>720</v>
      </c>
      <c r="B95" s="4">
        <v>3490</v>
      </c>
      <c r="C95" s="4">
        <v>2493</v>
      </c>
      <c r="D95" s="4">
        <v>469</v>
      </c>
      <c r="E95" s="4"/>
      <c r="F95" s="4"/>
      <c r="G95" s="4"/>
      <c r="H95" s="4"/>
      <c r="I95" s="4"/>
      <c r="J95" s="4"/>
      <c r="K95" s="5"/>
      <c r="L95" s="4" t="s">
        <v>198</v>
      </c>
      <c r="M95" s="8" t="s">
        <v>199</v>
      </c>
      <c r="N95" s="4"/>
      <c r="O95" s="8"/>
      <c r="P95" s="8"/>
      <c r="Q95" s="5">
        <v>236633.03</v>
      </c>
      <c r="R95" s="5">
        <v>0</v>
      </c>
      <c r="S95" s="5">
        <v>235000</v>
      </c>
      <c r="T95" s="5">
        <f>SUM(R95:S95)</f>
        <v>235000</v>
      </c>
      <c r="U95" s="5">
        <f>(T95-Q95)</f>
        <v>-1633.0299999999988</v>
      </c>
      <c r="V95" s="4" t="s">
        <v>112</v>
      </c>
      <c r="W95" s="5">
        <v>0</v>
      </c>
      <c r="X95" s="5">
        <v>235000</v>
      </c>
      <c r="Y95" s="5">
        <f t="shared" si="12"/>
        <v>0</v>
      </c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>
        <f t="shared" si="13"/>
        <v>0</v>
      </c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>
        <f t="shared" si="14"/>
        <v>236633.03</v>
      </c>
      <c r="AZ95" s="5">
        <v>236633.03</v>
      </c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>
        <f t="shared" si="15"/>
        <v>0</v>
      </c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>
        <f t="shared" si="16"/>
        <v>0</v>
      </c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>
        <f t="shared" si="17"/>
        <v>0</v>
      </c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7"/>
      <c r="CZ95" s="7"/>
      <c r="DA95" s="7"/>
      <c r="DB95" s="7"/>
      <c r="DC95" s="7"/>
      <c r="DD95" s="7"/>
      <c r="DE95" s="7"/>
      <c r="DF95" s="7"/>
      <c r="DG95" s="7"/>
      <c r="DH95" s="7"/>
      <c r="DI95" s="7"/>
      <c r="DJ95" s="7"/>
      <c r="DK95" s="7"/>
      <c r="DL95" s="7"/>
      <c r="DM95" s="7"/>
      <c r="DN95" s="7"/>
      <c r="DO95" s="7"/>
      <c r="DP95" s="7"/>
      <c r="DQ95" s="7"/>
      <c r="DR95" s="7"/>
      <c r="DS95" s="7"/>
      <c r="DT95" s="7"/>
      <c r="DU95" s="7"/>
      <c r="DV95" s="7"/>
      <c r="DW95" s="7"/>
      <c r="DX95" s="7"/>
      <c r="DY95" s="7"/>
      <c r="DZ95" s="7"/>
    </row>
    <row r="96" spans="1:130">
      <c r="A96" s="4">
        <v>720</v>
      </c>
      <c r="B96" s="4">
        <v>3490</v>
      </c>
      <c r="C96" s="4">
        <v>2493</v>
      </c>
      <c r="D96" s="4">
        <v>469</v>
      </c>
      <c r="E96" s="4">
        <v>-1</v>
      </c>
      <c r="F96" s="4"/>
      <c r="G96" s="4"/>
      <c r="H96" s="4"/>
      <c r="I96" s="4"/>
      <c r="J96" s="4"/>
      <c r="K96" s="5"/>
      <c r="L96" s="4" t="s">
        <v>113</v>
      </c>
      <c r="M96" s="8"/>
      <c r="N96" s="4"/>
      <c r="O96" s="8"/>
      <c r="P96" s="8"/>
      <c r="Q96" s="5"/>
      <c r="R96" s="5"/>
      <c r="S96" s="5"/>
      <c r="T96" s="5"/>
      <c r="U96" s="5"/>
      <c r="V96" s="4" t="s">
        <v>114</v>
      </c>
      <c r="W96" s="5"/>
      <c r="X96" s="5">
        <v>235000</v>
      </c>
      <c r="Y96" s="5">
        <f t="shared" si="12"/>
        <v>0</v>
      </c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>
        <f t="shared" si="13"/>
        <v>0</v>
      </c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>
        <f t="shared" si="14"/>
        <v>0</v>
      </c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>
        <f t="shared" si="15"/>
        <v>100410</v>
      </c>
      <c r="BM96" s="5"/>
      <c r="BN96" s="5">
        <v>1527</v>
      </c>
      <c r="BO96" s="5">
        <v>5394</v>
      </c>
      <c r="BP96" s="5">
        <v>6162</v>
      </c>
      <c r="BQ96" s="5">
        <v>5902</v>
      </c>
      <c r="BR96" s="5">
        <v>6944</v>
      </c>
      <c r="BS96" s="5">
        <v>8762</v>
      </c>
      <c r="BT96" s="5">
        <v>10454</v>
      </c>
      <c r="BU96" s="5">
        <v>11993</v>
      </c>
      <c r="BV96" s="5">
        <v>13352</v>
      </c>
      <c r="BW96" s="5">
        <v>14503</v>
      </c>
      <c r="BX96" s="5">
        <v>15417</v>
      </c>
      <c r="BY96" s="5">
        <f t="shared" si="16"/>
        <v>134590</v>
      </c>
      <c r="BZ96" s="5">
        <v>16067</v>
      </c>
      <c r="CA96" s="5">
        <v>16426</v>
      </c>
      <c r="CB96" s="5">
        <v>16465</v>
      </c>
      <c r="CC96" s="5">
        <v>16157</v>
      </c>
      <c r="CD96" s="5">
        <v>15474</v>
      </c>
      <c r="CE96" s="5">
        <v>14388</v>
      </c>
      <c r="CF96" s="5">
        <v>12872</v>
      </c>
      <c r="CG96" s="5">
        <v>10897</v>
      </c>
      <c r="CH96" s="5">
        <v>8437</v>
      </c>
      <c r="CI96" s="5">
        <v>5462</v>
      </c>
      <c r="CJ96" s="5">
        <v>1945</v>
      </c>
      <c r="CK96" s="5"/>
      <c r="CL96" s="5">
        <f t="shared" si="17"/>
        <v>0</v>
      </c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7"/>
      <c r="CZ96" s="7"/>
      <c r="DA96" s="7"/>
      <c r="DB96" s="7"/>
      <c r="DC96" s="7"/>
      <c r="DD96" s="7"/>
      <c r="DE96" s="7"/>
      <c r="DF96" s="7"/>
      <c r="DG96" s="7"/>
      <c r="DH96" s="7"/>
      <c r="DI96" s="7"/>
      <c r="DJ96" s="7"/>
      <c r="DK96" s="7"/>
      <c r="DL96" s="7"/>
      <c r="DM96" s="7"/>
      <c r="DN96" s="7"/>
      <c r="DO96" s="7"/>
      <c r="DP96" s="7"/>
      <c r="DQ96" s="7"/>
      <c r="DR96" s="7"/>
      <c r="DS96" s="7"/>
      <c r="DT96" s="7"/>
      <c r="DU96" s="7"/>
      <c r="DV96" s="7"/>
      <c r="DW96" s="7"/>
      <c r="DX96" s="7"/>
      <c r="DY96" s="7"/>
      <c r="DZ96" s="7"/>
    </row>
    <row r="97" spans="1:130">
      <c r="A97" s="4">
        <v>780</v>
      </c>
      <c r="B97" s="4">
        <v>3490</v>
      </c>
      <c r="C97" s="4">
        <v>2493</v>
      </c>
      <c r="D97" s="4">
        <v>566</v>
      </c>
      <c r="E97" s="4"/>
      <c r="F97" s="4"/>
      <c r="G97" s="4"/>
      <c r="H97" s="4"/>
      <c r="I97" s="4"/>
      <c r="J97" s="4"/>
      <c r="K97" s="5"/>
      <c r="L97" s="4" t="s">
        <v>200</v>
      </c>
      <c r="M97" s="8" t="s">
        <v>201</v>
      </c>
      <c r="N97" s="4"/>
      <c r="O97" s="8"/>
      <c r="P97" s="8"/>
      <c r="Q97" s="5">
        <v>0</v>
      </c>
      <c r="R97" s="5">
        <v>1872</v>
      </c>
      <c r="S97" s="5">
        <v>0</v>
      </c>
      <c r="T97" s="5">
        <f>SUM(R97:S97)</f>
        <v>1872</v>
      </c>
      <c r="U97" s="5">
        <f>(T97-Q97)</f>
        <v>1872</v>
      </c>
      <c r="V97" s="4" t="s">
        <v>112</v>
      </c>
      <c r="W97" s="5">
        <v>1872</v>
      </c>
      <c r="X97" s="5">
        <v>0</v>
      </c>
      <c r="Y97" s="5">
        <f t="shared" si="12"/>
        <v>0</v>
      </c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>
        <f t="shared" si="13"/>
        <v>0</v>
      </c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>
        <f t="shared" si="14"/>
        <v>0</v>
      </c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>
        <f t="shared" si="15"/>
        <v>0</v>
      </c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>
        <f t="shared" si="16"/>
        <v>0</v>
      </c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>
        <f t="shared" si="17"/>
        <v>0</v>
      </c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7"/>
      <c r="CZ97" s="7"/>
      <c r="DA97" s="7"/>
      <c r="DB97" s="7"/>
      <c r="DC97" s="7"/>
      <c r="DD97" s="7"/>
      <c r="DE97" s="7"/>
      <c r="DF97" s="7"/>
      <c r="DG97" s="7"/>
      <c r="DH97" s="7"/>
      <c r="DI97" s="7"/>
      <c r="DJ97" s="7"/>
      <c r="DK97" s="7"/>
      <c r="DL97" s="7"/>
      <c r="DM97" s="7"/>
      <c r="DN97" s="7"/>
      <c r="DO97" s="7"/>
      <c r="DP97" s="7"/>
      <c r="DQ97" s="7"/>
      <c r="DR97" s="7"/>
      <c r="DS97" s="7"/>
      <c r="DT97" s="7"/>
      <c r="DU97" s="7"/>
      <c r="DV97" s="7"/>
      <c r="DW97" s="7"/>
      <c r="DX97" s="7"/>
      <c r="DY97" s="7"/>
      <c r="DZ97" s="7"/>
    </row>
    <row r="98" spans="1:130">
      <c r="A98" s="4">
        <v>780</v>
      </c>
      <c r="B98" s="4">
        <v>3490</v>
      </c>
      <c r="C98" s="4">
        <v>2493</v>
      </c>
      <c r="D98" s="4">
        <v>566</v>
      </c>
      <c r="E98" s="4">
        <v>-1</v>
      </c>
      <c r="F98" s="4"/>
      <c r="G98" s="4"/>
      <c r="H98" s="4"/>
      <c r="I98" s="4"/>
      <c r="J98" s="4"/>
      <c r="K98" s="5"/>
      <c r="L98" s="4" t="s">
        <v>113</v>
      </c>
      <c r="M98" s="8"/>
      <c r="N98" s="4"/>
      <c r="O98" s="8"/>
      <c r="P98" s="8"/>
      <c r="Q98" s="5"/>
      <c r="R98" s="5"/>
      <c r="S98" s="5"/>
      <c r="T98" s="5"/>
      <c r="U98" s="5"/>
      <c r="V98" s="4" t="s">
        <v>114</v>
      </c>
      <c r="W98" s="5"/>
      <c r="X98" s="5">
        <v>0</v>
      </c>
      <c r="Y98" s="5">
        <f t="shared" si="12"/>
        <v>0</v>
      </c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>
        <f t="shared" si="13"/>
        <v>0</v>
      </c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>
        <f t="shared" si="14"/>
        <v>0</v>
      </c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>
        <f t="shared" si="15"/>
        <v>0</v>
      </c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>
        <f t="shared" si="16"/>
        <v>0</v>
      </c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>
        <f t="shared" si="17"/>
        <v>0</v>
      </c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7"/>
      <c r="CZ98" s="7"/>
      <c r="DA98" s="7"/>
      <c r="DB98" s="7"/>
      <c r="DC98" s="7"/>
      <c r="DD98" s="7"/>
      <c r="DE98" s="7"/>
      <c r="DF98" s="7"/>
      <c r="DG98" s="7"/>
      <c r="DH98" s="7"/>
      <c r="DI98" s="7"/>
      <c r="DJ98" s="7"/>
      <c r="DK98" s="7"/>
      <c r="DL98" s="7"/>
      <c r="DM98" s="7"/>
      <c r="DN98" s="7"/>
      <c r="DO98" s="7"/>
      <c r="DP98" s="7"/>
      <c r="DQ98" s="7"/>
      <c r="DR98" s="7"/>
      <c r="DS98" s="7"/>
      <c r="DT98" s="7"/>
      <c r="DU98" s="7"/>
      <c r="DV98" s="7"/>
      <c r="DW98" s="7"/>
      <c r="DX98" s="7"/>
      <c r="DY98" s="7"/>
      <c r="DZ98" s="7"/>
    </row>
    <row r="99" spans="1:130">
      <c r="A99" s="4">
        <v>780</v>
      </c>
      <c r="B99" s="4">
        <v>3490</v>
      </c>
      <c r="C99" s="4">
        <v>2493</v>
      </c>
      <c r="D99" s="4">
        <v>566</v>
      </c>
      <c r="E99" s="4">
        <v>965860</v>
      </c>
      <c r="F99" s="4"/>
      <c r="G99" s="4"/>
      <c r="H99" s="4"/>
      <c r="I99" s="4"/>
      <c r="J99" s="4"/>
      <c r="K99" s="5"/>
      <c r="L99" s="4" t="s">
        <v>113</v>
      </c>
      <c r="M99" s="8"/>
      <c r="N99" s="4" t="s">
        <v>202</v>
      </c>
      <c r="O99" s="8" t="s">
        <v>203</v>
      </c>
      <c r="P99" s="8" t="s">
        <v>204</v>
      </c>
      <c r="Q99" s="5"/>
      <c r="R99" s="5">
        <v>1872</v>
      </c>
      <c r="S99" s="5"/>
      <c r="T99" s="5"/>
      <c r="U99" s="5"/>
      <c r="V99" s="4" t="s">
        <v>120</v>
      </c>
      <c r="W99" s="5"/>
      <c r="X99" s="5"/>
      <c r="Y99" s="5">
        <f t="shared" si="12"/>
        <v>1872</v>
      </c>
      <c r="Z99" s="5">
        <v>158.56</v>
      </c>
      <c r="AA99" s="5">
        <v>148.33000000000001</v>
      </c>
      <c r="AB99" s="5">
        <v>158.56</v>
      </c>
      <c r="AC99" s="5">
        <v>153.44</v>
      </c>
      <c r="AD99" s="5">
        <v>158.56</v>
      </c>
      <c r="AE99" s="5">
        <v>153.44</v>
      </c>
      <c r="AF99" s="5">
        <v>158.56</v>
      </c>
      <c r="AG99" s="5">
        <v>158.56</v>
      </c>
      <c r="AH99" s="5">
        <v>153.44</v>
      </c>
      <c r="AI99" s="5">
        <v>158.56</v>
      </c>
      <c r="AJ99" s="5">
        <v>153.44</v>
      </c>
      <c r="AK99" s="5">
        <v>158.55000000000001</v>
      </c>
      <c r="AL99" s="5">
        <f t="shared" si="13"/>
        <v>0</v>
      </c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>
        <f t="shared" si="14"/>
        <v>0</v>
      </c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>
        <f t="shared" si="15"/>
        <v>0</v>
      </c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>
        <f t="shared" si="16"/>
        <v>0</v>
      </c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>
        <f t="shared" si="17"/>
        <v>0</v>
      </c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7"/>
      <c r="CZ99" s="7"/>
      <c r="DA99" s="7"/>
      <c r="DB99" s="7"/>
      <c r="DC99" s="7"/>
      <c r="DD99" s="7"/>
      <c r="DE99" s="7"/>
      <c r="DF99" s="7"/>
      <c r="DG99" s="7"/>
      <c r="DH99" s="7"/>
      <c r="DI99" s="7"/>
      <c r="DJ99" s="7"/>
      <c r="DK99" s="7"/>
      <c r="DL99" s="7"/>
      <c r="DM99" s="7"/>
      <c r="DN99" s="7"/>
      <c r="DO99" s="7"/>
      <c r="DP99" s="7"/>
      <c r="DQ99" s="7"/>
      <c r="DR99" s="7"/>
      <c r="DS99" s="7"/>
      <c r="DT99" s="7"/>
      <c r="DU99" s="7"/>
      <c r="DV99" s="7"/>
      <c r="DW99" s="7"/>
      <c r="DX99" s="7"/>
      <c r="DY99" s="7"/>
      <c r="DZ99" s="7"/>
    </row>
    <row r="100" spans="1:130">
      <c r="A100" s="4">
        <v>780</v>
      </c>
      <c r="B100" s="4">
        <v>3490</v>
      </c>
      <c r="C100" s="4">
        <v>2493</v>
      </c>
      <c r="D100" s="4">
        <v>566</v>
      </c>
      <c r="E100" s="4">
        <v>965860</v>
      </c>
      <c r="F100" s="4"/>
      <c r="G100" s="4"/>
      <c r="H100" s="4"/>
      <c r="I100" s="4"/>
      <c r="J100" s="4"/>
      <c r="K100" s="5"/>
      <c r="L100" s="4" t="s">
        <v>113</v>
      </c>
      <c r="M100" s="8"/>
      <c r="N100" s="4" t="s">
        <v>202</v>
      </c>
      <c r="O100" s="8" t="s">
        <v>203</v>
      </c>
      <c r="P100" s="8" t="s">
        <v>204</v>
      </c>
      <c r="Q100" s="5"/>
      <c r="R100" s="5">
        <v>0</v>
      </c>
      <c r="S100" s="5"/>
      <c r="T100" s="5"/>
      <c r="U100" s="5"/>
      <c r="V100" s="4" t="s">
        <v>121</v>
      </c>
      <c r="W100" s="5">
        <v>1872</v>
      </c>
      <c r="X100" s="5"/>
      <c r="Y100" s="5">
        <f t="shared" si="12"/>
        <v>1872</v>
      </c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>
        <v>1872</v>
      </c>
      <c r="AL100" s="5">
        <f t="shared" si="13"/>
        <v>0</v>
      </c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>
        <f t="shared" si="14"/>
        <v>0</v>
      </c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>
        <f t="shared" si="15"/>
        <v>0</v>
      </c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>
        <f t="shared" si="16"/>
        <v>0</v>
      </c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>
        <f t="shared" si="17"/>
        <v>0</v>
      </c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7"/>
      <c r="CZ100" s="7"/>
      <c r="DA100" s="7"/>
      <c r="DB100" s="7"/>
      <c r="DC100" s="7"/>
      <c r="DD100" s="7"/>
      <c r="DE100" s="7"/>
      <c r="DF100" s="7"/>
      <c r="DG100" s="7"/>
      <c r="DH100" s="7"/>
      <c r="DI100" s="7"/>
      <c r="DJ100" s="7"/>
      <c r="DK100" s="7"/>
      <c r="DL100" s="7"/>
      <c r="DM100" s="7"/>
      <c r="DN100" s="7"/>
      <c r="DO100" s="7"/>
      <c r="DP100" s="7"/>
      <c r="DQ100" s="7"/>
      <c r="DR100" s="7"/>
      <c r="DS100" s="7"/>
      <c r="DT100" s="7"/>
      <c r="DU100" s="7"/>
      <c r="DV100" s="7"/>
      <c r="DW100" s="7"/>
      <c r="DX100" s="7"/>
      <c r="DY100" s="7"/>
      <c r="DZ100" s="7"/>
    </row>
    <row r="101" spans="1:130">
      <c r="A101" s="4">
        <v>800</v>
      </c>
      <c r="B101" s="4">
        <v>3490</v>
      </c>
      <c r="C101" s="4">
        <v>2493</v>
      </c>
      <c r="D101" s="4">
        <v>470</v>
      </c>
      <c r="E101" s="4"/>
      <c r="F101" s="4"/>
      <c r="G101" s="4"/>
      <c r="H101" s="4"/>
      <c r="I101" s="4"/>
      <c r="J101" s="4"/>
      <c r="K101" s="5"/>
      <c r="L101" s="4" t="s">
        <v>205</v>
      </c>
      <c r="M101" s="8" t="s">
        <v>206</v>
      </c>
      <c r="N101" s="4"/>
      <c r="O101" s="8"/>
      <c r="P101" s="8"/>
      <c r="Q101" s="5">
        <v>19316.98</v>
      </c>
      <c r="R101" s="5">
        <v>12480</v>
      </c>
      <c r="S101" s="5">
        <v>12480</v>
      </c>
      <c r="T101" s="5">
        <f>SUM(R101:S101)</f>
        <v>24960</v>
      </c>
      <c r="U101" s="5">
        <f>(T101-Q101)</f>
        <v>5643.02</v>
      </c>
      <c r="V101" s="4" t="s">
        <v>112</v>
      </c>
      <c r="W101" s="5">
        <v>0</v>
      </c>
      <c r="X101" s="5">
        <v>24960</v>
      </c>
      <c r="Y101" s="5">
        <f t="shared" si="12"/>
        <v>0</v>
      </c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>
        <f t="shared" si="13"/>
        <v>0</v>
      </c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>
        <f t="shared" si="14"/>
        <v>19316.98</v>
      </c>
      <c r="AZ101" s="5">
        <v>19316.98</v>
      </c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>
        <f t="shared" si="15"/>
        <v>0</v>
      </c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>
        <f t="shared" si="16"/>
        <v>0</v>
      </c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>
        <f t="shared" si="17"/>
        <v>0</v>
      </c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7"/>
      <c r="CZ101" s="7"/>
      <c r="DA101" s="7"/>
      <c r="DB101" s="7"/>
      <c r="DC101" s="7"/>
      <c r="DD101" s="7"/>
      <c r="DE101" s="7"/>
      <c r="DF101" s="7"/>
      <c r="DG101" s="7"/>
      <c r="DH101" s="7"/>
      <c r="DI101" s="7"/>
      <c r="DJ101" s="7"/>
      <c r="DK101" s="7"/>
      <c r="DL101" s="7"/>
      <c r="DM101" s="7"/>
      <c r="DN101" s="7"/>
      <c r="DO101" s="7"/>
      <c r="DP101" s="7"/>
      <c r="DQ101" s="7"/>
      <c r="DR101" s="7"/>
      <c r="DS101" s="7"/>
      <c r="DT101" s="7"/>
      <c r="DU101" s="7"/>
      <c r="DV101" s="7"/>
      <c r="DW101" s="7"/>
      <c r="DX101" s="7"/>
      <c r="DY101" s="7"/>
      <c r="DZ101" s="7"/>
    </row>
    <row r="102" spans="1:130">
      <c r="A102" s="4">
        <v>800</v>
      </c>
      <c r="B102" s="4">
        <v>3490</v>
      </c>
      <c r="C102" s="4">
        <v>2493</v>
      </c>
      <c r="D102" s="4">
        <v>470</v>
      </c>
      <c r="E102" s="4">
        <v>-1</v>
      </c>
      <c r="F102" s="4"/>
      <c r="G102" s="4"/>
      <c r="H102" s="4"/>
      <c r="I102" s="4"/>
      <c r="J102" s="4"/>
      <c r="K102" s="5"/>
      <c r="L102" s="4" t="s">
        <v>113</v>
      </c>
      <c r="M102" s="8"/>
      <c r="N102" s="4"/>
      <c r="O102" s="8"/>
      <c r="P102" s="8"/>
      <c r="Q102" s="5"/>
      <c r="R102" s="5"/>
      <c r="S102" s="5"/>
      <c r="T102" s="5"/>
      <c r="U102" s="5"/>
      <c r="V102" s="4" t="s">
        <v>114</v>
      </c>
      <c r="W102" s="5"/>
      <c r="X102" s="5">
        <v>12480</v>
      </c>
      <c r="Y102" s="5">
        <f t="shared" si="12"/>
        <v>0</v>
      </c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>
        <f t="shared" si="13"/>
        <v>0</v>
      </c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>
        <f t="shared" si="14"/>
        <v>0</v>
      </c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>
        <f t="shared" si="15"/>
        <v>0</v>
      </c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>
        <f t="shared" si="16"/>
        <v>0</v>
      </c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>
        <f t="shared" si="17"/>
        <v>0</v>
      </c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7"/>
      <c r="CZ102" s="7"/>
      <c r="DA102" s="7"/>
      <c r="DB102" s="7"/>
      <c r="DC102" s="7"/>
      <c r="DD102" s="7"/>
      <c r="DE102" s="7"/>
      <c r="DF102" s="7"/>
      <c r="DG102" s="7"/>
      <c r="DH102" s="7"/>
      <c r="DI102" s="7"/>
      <c r="DJ102" s="7"/>
      <c r="DK102" s="7"/>
      <c r="DL102" s="7"/>
      <c r="DM102" s="7"/>
      <c r="DN102" s="7"/>
      <c r="DO102" s="7"/>
      <c r="DP102" s="7"/>
      <c r="DQ102" s="7"/>
      <c r="DR102" s="7"/>
      <c r="DS102" s="7"/>
      <c r="DT102" s="7"/>
      <c r="DU102" s="7"/>
      <c r="DV102" s="7"/>
      <c r="DW102" s="7"/>
      <c r="DX102" s="7"/>
      <c r="DY102" s="7"/>
      <c r="DZ102" s="7"/>
    </row>
    <row r="103" spans="1:130">
      <c r="A103" s="4">
        <v>810</v>
      </c>
      <c r="B103" s="4">
        <v>3490</v>
      </c>
      <c r="C103" s="4">
        <v>2493</v>
      </c>
      <c r="D103" s="4">
        <v>471</v>
      </c>
      <c r="E103" s="4"/>
      <c r="F103" s="4"/>
      <c r="G103" s="4"/>
      <c r="H103" s="4"/>
      <c r="I103" s="4"/>
      <c r="J103" s="4"/>
      <c r="K103" s="5"/>
      <c r="L103" s="4" t="s">
        <v>207</v>
      </c>
      <c r="M103" s="8" t="s">
        <v>208</v>
      </c>
      <c r="N103" s="4"/>
      <c r="O103" s="8"/>
      <c r="P103" s="8"/>
      <c r="Q103" s="5">
        <v>19316.98</v>
      </c>
      <c r="R103" s="5">
        <v>12480</v>
      </c>
      <c r="S103" s="5">
        <v>12480</v>
      </c>
      <c r="T103" s="5">
        <f>SUM(R103:S103)</f>
        <v>24960</v>
      </c>
      <c r="U103" s="5">
        <f>(T103-Q103)</f>
        <v>5643.02</v>
      </c>
      <c r="V103" s="4" t="s">
        <v>112</v>
      </c>
      <c r="W103" s="5">
        <v>0</v>
      </c>
      <c r="X103" s="5">
        <v>24960</v>
      </c>
      <c r="Y103" s="5">
        <f t="shared" si="12"/>
        <v>0</v>
      </c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>
        <f t="shared" si="13"/>
        <v>0</v>
      </c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>
        <f t="shared" si="14"/>
        <v>19316.98</v>
      </c>
      <c r="AZ103" s="5">
        <v>19316.98</v>
      </c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>
        <f t="shared" si="15"/>
        <v>0</v>
      </c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>
        <f t="shared" si="16"/>
        <v>0</v>
      </c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>
        <f t="shared" si="17"/>
        <v>0</v>
      </c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7"/>
      <c r="CZ103" s="7"/>
      <c r="DA103" s="7"/>
      <c r="DB103" s="7"/>
      <c r="DC103" s="7"/>
      <c r="DD103" s="7"/>
      <c r="DE103" s="7"/>
      <c r="DF103" s="7"/>
      <c r="DG103" s="7"/>
      <c r="DH103" s="7"/>
      <c r="DI103" s="7"/>
      <c r="DJ103" s="7"/>
      <c r="DK103" s="7"/>
      <c r="DL103" s="7"/>
      <c r="DM103" s="7"/>
      <c r="DN103" s="7"/>
      <c r="DO103" s="7"/>
      <c r="DP103" s="7"/>
      <c r="DQ103" s="7"/>
      <c r="DR103" s="7"/>
      <c r="DS103" s="7"/>
      <c r="DT103" s="7"/>
      <c r="DU103" s="7"/>
      <c r="DV103" s="7"/>
      <c r="DW103" s="7"/>
      <c r="DX103" s="7"/>
      <c r="DY103" s="7"/>
      <c r="DZ103" s="7"/>
    </row>
    <row r="104" spans="1:130">
      <c r="A104" s="4">
        <v>810</v>
      </c>
      <c r="B104" s="4">
        <v>3490</v>
      </c>
      <c r="C104" s="4">
        <v>2493</v>
      </c>
      <c r="D104" s="4">
        <v>471</v>
      </c>
      <c r="E104" s="4">
        <v>-1</v>
      </c>
      <c r="F104" s="4"/>
      <c r="G104" s="4"/>
      <c r="H104" s="4"/>
      <c r="I104" s="4"/>
      <c r="J104" s="4"/>
      <c r="K104" s="5"/>
      <c r="L104" s="4" t="s">
        <v>113</v>
      </c>
      <c r="M104" s="8"/>
      <c r="N104" s="4"/>
      <c r="O104" s="8"/>
      <c r="P104" s="8"/>
      <c r="Q104" s="5"/>
      <c r="R104" s="5"/>
      <c r="S104" s="5"/>
      <c r="T104" s="5"/>
      <c r="U104" s="5"/>
      <c r="V104" s="4" t="s">
        <v>114</v>
      </c>
      <c r="W104" s="5"/>
      <c r="X104" s="5">
        <v>12480</v>
      </c>
      <c r="Y104" s="5">
        <f t="shared" si="12"/>
        <v>0</v>
      </c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>
        <f t="shared" si="13"/>
        <v>0</v>
      </c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>
        <f t="shared" si="14"/>
        <v>0</v>
      </c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>
        <f t="shared" si="15"/>
        <v>0</v>
      </c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>
        <f t="shared" si="16"/>
        <v>12480</v>
      </c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>
        <v>12480</v>
      </c>
      <c r="CK104" s="5"/>
      <c r="CL104" s="5">
        <f t="shared" si="17"/>
        <v>0</v>
      </c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7"/>
      <c r="CZ104" s="7"/>
      <c r="DA104" s="7"/>
      <c r="DB104" s="7"/>
      <c r="DC104" s="7"/>
      <c r="DD104" s="7"/>
      <c r="DE104" s="7"/>
      <c r="DF104" s="7"/>
      <c r="DG104" s="7"/>
      <c r="DH104" s="7"/>
      <c r="DI104" s="7"/>
      <c r="DJ104" s="7"/>
      <c r="DK104" s="7"/>
      <c r="DL104" s="7"/>
      <c r="DM104" s="7"/>
      <c r="DN104" s="7"/>
      <c r="DO104" s="7"/>
      <c r="DP104" s="7"/>
      <c r="DQ104" s="7"/>
      <c r="DR104" s="7"/>
      <c r="DS104" s="7"/>
      <c r="DT104" s="7"/>
      <c r="DU104" s="7"/>
      <c r="DV104" s="7"/>
      <c r="DW104" s="7"/>
      <c r="DX104" s="7"/>
      <c r="DY104" s="7"/>
      <c r="DZ104" s="7"/>
    </row>
    <row r="105" spans="1:130" ht="26">
      <c r="A105" s="4">
        <v>810</v>
      </c>
      <c r="B105" s="4">
        <v>3490</v>
      </c>
      <c r="C105" s="4">
        <v>2493</v>
      </c>
      <c r="D105" s="4">
        <v>471</v>
      </c>
      <c r="E105" s="4">
        <v>985693</v>
      </c>
      <c r="F105" s="4"/>
      <c r="G105" s="4"/>
      <c r="H105" s="4"/>
      <c r="I105" s="4"/>
      <c r="J105" s="4"/>
      <c r="K105" s="5"/>
      <c r="L105" s="4" t="s">
        <v>113</v>
      </c>
      <c r="M105" s="8"/>
      <c r="N105" s="4" t="s">
        <v>187</v>
      </c>
      <c r="O105" s="8" t="s">
        <v>168</v>
      </c>
      <c r="P105" s="8" t="s">
        <v>188</v>
      </c>
      <c r="Q105" s="5"/>
      <c r="R105" s="5">
        <v>12480</v>
      </c>
      <c r="S105" s="5"/>
      <c r="T105" s="5"/>
      <c r="U105" s="5"/>
      <c r="V105" s="4" t="s">
        <v>120</v>
      </c>
      <c r="W105" s="5"/>
      <c r="X105" s="5"/>
      <c r="Y105" s="5">
        <f t="shared" ref="Y105:Y136" si="18">SUM(Z105:AK105)</f>
        <v>0</v>
      </c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>
        <f t="shared" ref="AL105:AL136" si="19">SUM(AM105:AX105)</f>
        <v>0</v>
      </c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>
        <f t="shared" ref="AY105:AY136" si="20">SUM(AZ105:BK105)</f>
        <v>0</v>
      </c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>
        <f t="shared" ref="BL105:BL136" si="21">SUM(BM105:BX105)</f>
        <v>0</v>
      </c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>
        <f t="shared" ref="BY105:BY136" si="22">SUM(BZ105:CK105)</f>
        <v>0</v>
      </c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>
        <f t="shared" ref="CL105:CL136" si="23">SUM(CM105:CX105)</f>
        <v>12480.000000000002</v>
      </c>
      <c r="CM105" s="5">
        <v>1059.95</v>
      </c>
      <c r="CN105" s="5">
        <v>957.37</v>
      </c>
      <c r="CO105" s="5">
        <v>1059.95</v>
      </c>
      <c r="CP105" s="5">
        <v>1025.75</v>
      </c>
      <c r="CQ105" s="5">
        <v>1059.95</v>
      </c>
      <c r="CR105" s="5">
        <v>1025.75</v>
      </c>
      <c r="CS105" s="5">
        <v>1059.95</v>
      </c>
      <c r="CT105" s="5">
        <v>1059.95</v>
      </c>
      <c r="CU105" s="5">
        <v>1025.75</v>
      </c>
      <c r="CV105" s="5">
        <v>1059.95</v>
      </c>
      <c r="CW105" s="5">
        <v>1025.75</v>
      </c>
      <c r="CX105" s="5">
        <v>1059.93</v>
      </c>
      <c r="CY105" s="7"/>
      <c r="CZ105" s="7"/>
      <c r="DA105" s="7"/>
      <c r="DB105" s="7"/>
      <c r="DC105" s="7"/>
      <c r="DD105" s="7"/>
      <c r="DE105" s="7"/>
      <c r="DF105" s="7"/>
      <c r="DG105" s="7"/>
      <c r="DH105" s="7"/>
      <c r="DI105" s="7"/>
      <c r="DJ105" s="7"/>
      <c r="DK105" s="7"/>
      <c r="DL105" s="7"/>
      <c r="DM105" s="7"/>
      <c r="DN105" s="7"/>
      <c r="DO105" s="7"/>
      <c r="DP105" s="7"/>
      <c r="DQ105" s="7"/>
      <c r="DR105" s="7"/>
      <c r="DS105" s="7"/>
      <c r="DT105" s="7"/>
      <c r="DU105" s="7"/>
      <c r="DV105" s="7"/>
      <c r="DW105" s="7"/>
      <c r="DX105" s="7"/>
      <c r="DY105" s="7"/>
      <c r="DZ105" s="7"/>
    </row>
    <row r="106" spans="1:130">
      <c r="A106" s="4">
        <v>870</v>
      </c>
      <c r="B106" s="4">
        <v>3490</v>
      </c>
      <c r="C106" s="4">
        <v>2493</v>
      </c>
      <c r="D106" s="4">
        <v>474</v>
      </c>
      <c r="E106" s="4"/>
      <c r="F106" s="4"/>
      <c r="G106" s="4"/>
      <c r="H106" s="4"/>
      <c r="I106" s="4"/>
      <c r="J106" s="4"/>
      <c r="K106" s="5"/>
      <c r="L106" s="4" t="s">
        <v>209</v>
      </c>
      <c r="M106" s="8" t="s">
        <v>210</v>
      </c>
      <c r="N106" s="4"/>
      <c r="O106" s="8"/>
      <c r="P106" s="8"/>
      <c r="Q106" s="5">
        <v>269738.01</v>
      </c>
      <c r="R106" s="5">
        <v>189422.55</v>
      </c>
      <c r="S106" s="5">
        <v>178154.7</v>
      </c>
      <c r="T106" s="5">
        <f>SUM(R106:S106)</f>
        <v>367577.25</v>
      </c>
      <c r="U106" s="5">
        <f>(T106-Q106)</f>
        <v>97839.239999999991</v>
      </c>
      <c r="V106" s="4" t="s">
        <v>112</v>
      </c>
      <c r="W106" s="5">
        <v>42804.12</v>
      </c>
      <c r="X106" s="5">
        <v>324773.13</v>
      </c>
      <c r="Y106" s="5">
        <f t="shared" si="18"/>
        <v>0</v>
      </c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>
        <f t="shared" si="19"/>
        <v>0</v>
      </c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>
        <f t="shared" si="20"/>
        <v>269738.01</v>
      </c>
      <c r="AZ106" s="5">
        <v>269738.01</v>
      </c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>
        <f t="shared" si="21"/>
        <v>0</v>
      </c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>
        <f t="shared" si="22"/>
        <v>0</v>
      </c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>
        <f t="shared" si="23"/>
        <v>0</v>
      </c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7"/>
      <c r="CZ106" s="7"/>
      <c r="DA106" s="7"/>
      <c r="DB106" s="7"/>
      <c r="DC106" s="7"/>
      <c r="DD106" s="7"/>
      <c r="DE106" s="7"/>
      <c r="DF106" s="7"/>
      <c r="DG106" s="7"/>
      <c r="DH106" s="7"/>
      <c r="DI106" s="7"/>
      <c r="DJ106" s="7"/>
      <c r="DK106" s="7"/>
      <c r="DL106" s="7"/>
      <c r="DM106" s="7"/>
      <c r="DN106" s="7"/>
      <c r="DO106" s="7"/>
      <c r="DP106" s="7"/>
      <c r="DQ106" s="7"/>
      <c r="DR106" s="7"/>
      <c r="DS106" s="7"/>
      <c r="DT106" s="7"/>
      <c r="DU106" s="7"/>
      <c r="DV106" s="7"/>
      <c r="DW106" s="7"/>
      <c r="DX106" s="7"/>
      <c r="DY106" s="7"/>
      <c r="DZ106" s="7"/>
    </row>
    <row r="107" spans="1:130">
      <c r="A107" s="4">
        <v>870</v>
      </c>
      <c r="B107" s="4">
        <v>3490</v>
      </c>
      <c r="C107" s="4">
        <v>2493</v>
      </c>
      <c r="D107" s="4">
        <v>474</v>
      </c>
      <c r="E107" s="4">
        <v>-1</v>
      </c>
      <c r="F107" s="4"/>
      <c r="G107" s="4"/>
      <c r="H107" s="4"/>
      <c r="I107" s="4"/>
      <c r="J107" s="4"/>
      <c r="K107" s="5"/>
      <c r="L107" s="4" t="s">
        <v>113</v>
      </c>
      <c r="M107" s="8"/>
      <c r="N107" s="4"/>
      <c r="O107" s="8"/>
      <c r="P107" s="8"/>
      <c r="Q107" s="5"/>
      <c r="R107" s="5"/>
      <c r="S107" s="5"/>
      <c r="T107" s="5"/>
      <c r="U107" s="5"/>
      <c r="V107" s="4" t="s">
        <v>114</v>
      </c>
      <c r="W107" s="5"/>
      <c r="X107" s="5">
        <v>178154.7</v>
      </c>
      <c r="Y107" s="5">
        <f t="shared" si="18"/>
        <v>0</v>
      </c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>
        <f t="shared" si="19"/>
        <v>0</v>
      </c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>
        <f t="shared" si="20"/>
        <v>0</v>
      </c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>
        <f t="shared" si="21"/>
        <v>0</v>
      </c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>
        <f t="shared" si="22"/>
        <v>0</v>
      </c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>
        <f t="shared" si="23"/>
        <v>0</v>
      </c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7"/>
      <c r="CZ107" s="7"/>
      <c r="DA107" s="7"/>
      <c r="DB107" s="7"/>
      <c r="DC107" s="7"/>
      <c r="DD107" s="7"/>
      <c r="DE107" s="7"/>
      <c r="DF107" s="7"/>
      <c r="DG107" s="7"/>
      <c r="DH107" s="7"/>
      <c r="DI107" s="7"/>
      <c r="DJ107" s="7"/>
      <c r="DK107" s="7"/>
      <c r="DL107" s="7"/>
      <c r="DM107" s="7"/>
      <c r="DN107" s="7"/>
      <c r="DO107" s="7"/>
      <c r="DP107" s="7"/>
      <c r="DQ107" s="7"/>
      <c r="DR107" s="7"/>
      <c r="DS107" s="7"/>
      <c r="DT107" s="7"/>
      <c r="DU107" s="7"/>
      <c r="DV107" s="7"/>
      <c r="DW107" s="7"/>
      <c r="DX107" s="7"/>
      <c r="DY107" s="7"/>
      <c r="DZ107" s="7"/>
    </row>
    <row r="108" spans="1:130" ht="26">
      <c r="A108" s="4">
        <v>880</v>
      </c>
      <c r="B108" s="4">
        <v>3490</v>
      </c>
      <c r="C108" s="4">
        <v>2493</v>
      </c>
      <c r="D108" s="4">
        <v>475</v>
      </c>
      <c r="E108" s="4"/>
      <c r="F108" s="4"/>
      <c r="G108" s="4"/>
      <c r="H108" s="4"/>
      <c r="I108" s="4"/>
      <c r="J108" s="4"/>
      <c r="K108" s="5"/>
      <c r="L108" s="4" t="s">
        <v>211</v>
      </c>
      <c r="M108" s="8" t="s">
        <v>212</v>
      </c>
      <c r="N108" s="4"/>
      <c r="O108" s="8"/>
      <c r="P108" s="8"/>
      <c r="Q108" s="5">
        <v>74860.639999999999</v>
      </c>
      <c r="R108" s="5">
        <v>12480</v>
      </c>
      <c r="S108" s="5">
        <v>70319.7</v>
      </c>
      <c r="T108" s="5">
        <f>SUM(R108:S108)</f>
        <v>82799.7</v>
      </c>
      <c r="U108" s="5">
        <f>(T108-Q108)</f>
        <v>7939.0599999999977</v>
      </c>
      <c r="V108" s="4" t="s">
        <v>112</v>
      </c>
      <c r="W108" s="5">
        <v>0</v>
      </c>
      <c r="X108" s="5">
        <v>82799.7</v>
      </c>
      <c r="Y108" s="5">
        <f t="shared" si="18"/>
        <v>0</v>
      </c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>
        <f t="shared" si="19"/>
        <v>0</v>
      </c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>
        <f t="shared" si="20"/>
        <v>74860.639999999999</v>
      </c>
      <c r="AZ108" s="5">
        <v>74860.639999999999</v>
      </c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>
        <f t="shared" si="21"/>
        <v>0</v>
      </c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>
        <f t="shared" si="22"/>
        <v>0</v>
      </c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>
        <f t="shared" si="23"/>
        <v>0</v>
      </c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7"/>
      <c r="CZ108" s="7"/>
      <c r="DA108" s="7"/>
      <c r="DB108" s="7"/>
      <c r="DC108" s="7"/>
      <c r="DD108" s="7"/>
      <c r="DE108" s="7"/>
      <c r="DF108" s="7"/>
      <c r="DG108" s="7"/>
      <c r="DH108" s="7"/>
      <c r="DI108" s="7"/>
      <c r="DJ108" s="7"/>
      <c r="DK108" s="7"/>
      <c r="DL108" s="7"/>
      <c r="DM108" s="7"/>
      <c r="DN108" s="7"/>
      <c r="DO108" s="7"/>
      <c r="DP108" s="7"/>
      <c r="DQ108" s="7"/>
      <c r="DR108" s="7"/>
      <c r="DS108" s="7"/>
      <c r="DT108" s="7"/>
      <c r="DU108" s="7"/>
      <c r="DV108" s="7"/>
      <c r="DW108" s="7"/>
      <c r="DX108" s="7"/>
      <c r="DY108" s="7"/>
      <c r="DZ108" s="7"/>
    </row>
    <row r="109" spans="1:130">
      <c r="A109" s="4">
        <v>880</v>
      </c>
      <c r="B109" s="4">
        <v>3490</v>
      </c>
      <c r="C109" s="4">
        <v>2493</v>
      </c>
      <c r="D109" s="4">
        <v>475</v>
      </c>
      <c r="E109" s="4">
        <v>-1</v>
      </c>
      <c r="F109" s="4"/>
      <c r="G109" s="4"/>
      <c r="H109" s="4"/>
      <c r="I109" s="4"/>
      <c r="J109" s="4"/>
      <c r="K109" s="5"/>
      <c r="L109" s="4" t="s">
        <v>113</v>
      </c>
      <c r="M109" s="8"/>
      <c r="N109" s="4"/>
      <c r="O109" s="8"/>
      <c r="P109" s="8"/>
      <c r="Q109" s="5"/>
      <c r="R109" s="5"/>
      <c r="S109" s="5"/>
      <c r="T109" s="5"/>
      <c r="U109" s="5"/>
      <c r="V109" s="4" t="s">
        <v>114</v>
      </c>
      <c r="W109" s="5"/>
      <c r="X109" s="5">
        <v>70319.7</v>
      </c>
      <c r="Y109" s="5">
        <f t="shared" si="18"/>
        <v>0</v>
      </c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>
        <f t="shared" si="19"/>
        <v>0</v>
      </c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>
        <f t="shared" si="20"/>
        <v>0</v>
      </c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>
        <f t="shared" si="21"/>
        <v>0</v>
      </c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>
        <f t="shared" si="22"/>
        <v>0</v>
      </c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>
        <f t="shared" si="23"/>
        <v>0</v>
      </c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7"/>
      <c r="CZ109" s="7"/>
      <c r="DA109" s="7"/>
      <c r="DB109" s="7"/>
      <c r="DC109" s="7"/>
      <c r="DD109" s="7"/>
      <c r="DE109" s="7"/>
      <c r="DF109" s="7"/>
      <c r="DG109" s="7"/>
      <c r="DH109" s="7"/>
      <c r="DI109" s="7"/>
      <c r="DJ109" s="7"/>
      <c r="DK109" s="7"/>
      <c r="DL109" s="7"/>
      <c r="DM109" s="7"/>
      <c r="DN109" s="7"/>
      <c r="DO109" s="7"/>
      <c r="DP109" s="7"/>
      <c r="DQ109" s="7"/>
      <c r="DR109" s="7"/>
      <c r="DS109" s="7"/>
      <c r="DT109" s="7"/>
      <c r="DU109" s="7"/>
      <c r="DV109" s="7"/>
      <c r="DW109" s="7"/>
      <c r="DX109" s="7"/>
      <c r="DY109" s="7"/>
      <c r="DZ109" s="7"/>
    </row>
    <row r="110" spans="1:130">
      <c r="A110" s="4">
        <v>890</v>
      </c>
      <c r="B110" s="4">
        <v>3490</v>
      </c>
      <c r="C110" s="4">
        <v>2493</v>
      </c>
      <c r="D110" s="4">
        <v>476</v>
      </c>
      <c r="E110" s="4"/>
      <c r="F110" s="4"/>
      <c r="G110" s="4"/>
      <c r="H110" s="4"/>
      <c r="I110" s="4"/>
      <c r="J110" s="4"/>
      <c r="K110" s="5"/>
      <c r="L110" s="4" t="s">
        <v>213</v>
      </c>
      <c r="M110" s="8" t="s">
        <v>214</v>
      </c>
      <c r="N110" s="4"/>
      <c r="O110" s="8"/>
      <c r="P110" s="8"/>
      <c r="Q110" s="5">
        <v>13283.72</v>
      </c>
      <c r="R110" s="5">
        <v>0</v>
      </c>
      <c r="S110" s="5">
        <v>13283.72</v>
      </c>
      <c r="T110" s="5">
        <f>SUM(R110:S110)</f>
        <v>13283.72</v>
      </c>
      <c r="U110" s="5">
        <f>(T110-Q110)</f>
        <v>0</v>
      </c>
      <c r="V110" s="4" t="s">
        <v>112</v>
      </c>
      <c r="W110" s="5">
        <v>0</v>
      </c>
      <c r="X110" s="5">
        <v>13283.72</v>
      </c>
      <c r="Y110" s="5">
        <f t="shared" si="18"/>
        <v>0</v>
      </c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>
        <f t="shared" si="19"/>
        <v>0</v>
      </c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>
        <f t="shared" si="20"/>
        <v>13283.72</v>
      </c>
      <c r="AZ110" s="5">
        <v>13283.72</v>
      </c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>
        <f t="shared" si="21"/>
        <v>0</v>
      </c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>
        <f t="shared" si="22"/>
        <v>0</v>
      </c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>
        <f t="shared" si="23"/>
        <v>0</v>
      </c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7"/>
      <c r="CZ110" s="7"/>
      <c r="DA110" s="7"/>
      <c r="DB110" s="7"/>
      <c r="DC110" s="7"/>
      <c r="DD110" s="7"/>
      <c r="DE110" s="7"/>
      <c r="DF110" s="7"/>
      <c r="DG110" s="7"/>
      <c r="DH110" s="7"/>
      <c r="DI110" s="7"/>
      <c r="DJ110" s="7"/>
      <c r="DK110" s="7"/>
      <c r="DL110" s="7"/>
      <c r="DM110" s="7"/>
      <c r="DN110" s="7"/>
      <c r="DO110" s="7"/>
      <c r="DP110" s="7"/>
      <c r="DQ110" s="7"/>
      <c r="DR110" s="7"/>
      <c r="DS110" s="7"/>
      <c r="DT110" s="7"/>
      <c r="DU110" s="7"/>
      <c r="DV110" s="7"/>
      <c r="DW110" s="7"/>
      <c r="DX110" s="7"/>
      <c r="DY110" s="7"/>
      <c r="DZ110" s="7"/>
    </row>
    <row r="111" spans="1:130">
      <c r="A111" s="4">
        <v>890</v>
      </c>
      <c r="B111" s="4">
        <v>3490</v>
      </c>
      <c r="C111" s="4">
        <v>2493</v>
      </c>
      <c r="D111" s="4">
        <v>476</v>
      </c>
      <c r="E111" s="4">
        <v>-1</v>
      </c>
      <c r="F111" s="4"/>
      <c r="G111" s="4"/>
      <c r="H111" s="4"/>
      <c r="I111" s="4"/>
      <c r="J111" s="4"/>
      <c r="K111" s="5"/>
      <c r="L111" s="4" t="s">
        <v>113</v>
      </c>
      <c r="M111" s="8"/>
      <c r="N111" s="4"/>
      <c r="O111" s="8"/>
      <c r="P111" s="8"/>
      <c r="Q111" s="5"/>
      <c r="R111" s="5"/>
      <c r="S111" s="5"/>
      <c r="T111" s="5"/>
      <c r="U111" s="5"/>
      <c r="V111" s="4" t="s">
        <v>114</v>
      </c>
      <c r="W111" s="5"/>
      <c r="X111" s="5">
        <v>13283.72</v>
      </c>
      <c r="Y111" s="5">
        <f t="shared" si="18"/>
        <v>0</v>
      </c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>
        <f t="shared" si="19"/>
        <v>0</v>
      </c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>
        <f t="shared" si="20"/>
        <v>0</v>
      </c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>
        <f t="shared" si="21"/>
        <v>0</v>
      </c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>
        <f t="shared" si="22"/>
        <v>13283.72</v>
      </c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>
        <v>13283.72</v>
      </c>
      <c r="CK111" s="5"/>
      <c r="CL111" s="5">
        <f t="shared" si="23"/>
        <v>0</v>
      </c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7"/>
      <c r="CZ111" s="7"/>
      <c r="DA111" s="7"/>
      <c r="DB111" s="7"/>
      <c r="DC111" s="7"/>
      <c r="DD111" s="7"/>
      <c r="DE111" s="7"/>
      <c r="DF111" s="7"/>
      <c r="DG111" s="7"/>
      <c r="DH111" s="7"/>
      <c r="DI111" s="7"/>
      <c r="DJ111" s="7"/>
      <c r="DK111" s="7"/>
      <c r="DL111" s="7"/>
      <c r="DM111" s="7"/>
      <c r="DN111" s="7"/>
      <c r="DO111" s="7"/>
      <c r="DP111" s="7"/>
      <c r="DQ111" s="7"/>
      <c r="DR111" s="7"/>
      <c r="DS111" s="7"/>
      <c r="DT111" s="7"/>
      <c r="DU111" s="7"/>
      <c r="DV111" s="7"/>
      <c r="DW111" s="7"/>
      <c r="DX111" s="7"/>
      <c r="DY111" s="7"/>
      <c r="DZ111" s="7"/>
    </row>
    <row r="112" spans="1:130">
      <c r="A112" s="4">
        <v>900</v>
      </c>
      <c r="B112" s="4">
        <v>3490</v>
      </c>
      <c r="C112" s="4">
        <v>2493</v>
      </c>
      <c r="D112" s="4">
        <v>477</v>
      </c>
      <c r="E112" s="4"/>
      <c r="F112" s="4"/>
      <c r="G112" s="4"/>
      <c r="H112" s="4"/>
      <c r="I112" s="4"/>
      <c r="J112" s="4"/>
      <c r="K112" s="5"/>
      <c r="L112" s="4" t="s">
        <v>215</v>
      </c>
      <c r="M112" s="8" t="s">
        <v>216</v>
      </c>
      <c r="N112" s="4"/>
      <c r="O112" s="8"/>
      <c r="P112" s="8"/>
      <c r="Q112" s="5">
        <v>19316.98</v>
      </c>
      <c r="R112" s="5">
        <v>0</v>
      </c>
      <c r="S112" s="5">
        <v>19316.98</v>
      </c>
      <c r="T112" s="5">
        <f>SUM(R112:S112)</f>
        <v>19316.98</v>
      </c>
      <c r="U112" s="5">
        <f>(T112-Q112)</f>
        <v>0</v>
      </c>
      <c r="V112" s="4" t="s">
        <v>112</v>
      </c>
      <c r="W112" s="5">
        <v>0</v>
      </c>
      <c r="X112" s="5">
        <v>19316.98</v>
      </c>
      <c r="Y112" s="5">
        <f t="shared" si="18"/>
        <v>0</v>
      </c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>
        <f t="shared" si="19"/>
        <v>0</v>
      </c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>
        <f t="shared" si="20"/>
        <v>19316.98</v>
      </c>
      <c r="AZ112" s="5">
        <v>19316.98</v>
      </c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>
        <f t="shared" si="21"/>
        <v>0</v>
      </c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>
        <f t="shared" si="22"/>
        <v>0</v>
      </c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>
        <f t="shared" si="23"/>
        <v>0</v>
      </c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7"/>
      <c r="CZ112" s="7"/>
      <c r="DA112" s="7"/>
      <c r="DB112" s="7"/>
      <c r="DC112" s="7"/>
      <c r="DD112" s="7"/>
      <c r="DE112" s="7"/>
      <c r="DF112" s="7"/>
      <c r="DG112" s="7"/>
      <c r="DH112" s="7"/>
      <c r="DI112" s="7"/>
      <c r="DJ112" s="7"/>
      <c r="DK112" s="7"/>
      <c r="DL112" s="7"/>
      <c r="DM112" s="7"/>
      <c r="DN112" s="7"/>
      <c r="DO112" s="7"/>
      <c r="DP112" s="7"/>
      <c r="DQ112" s="7"/>
      <c r="DR112" s="7"/>
      <c r="DS112" s="7"/>
      <c r="DT112" s="7"/>
      <c r="DU112" s="7"/>
      <c r="DV112" s="7"/>
      <c r="DW112" s="7"/>
      <c r="DX112" s="7"/>
      <c r="DY112" s="7"/>
      <c r="DZ112" s="7"/>
    </row>
    <row r="113" spans="1:130">
      <c r="A113" s="4">
        <v>900</v>
      </c>
      <c r="B113" s="4">
        <v>3490</v>
      </c>
      <c r="C113" s="4">
        <v>2493</v>
      </c>
      <c r="D113" s="4">
        <v>477</v>
      </c>
      <c r="E113" s="4">
        <v>-1</v>
      </c>
      <c r="F113" s="4"/>
      <c r="G113" s="4"/>
      <c r="H113" s="4"/>
      <c r="I113" s="4"/>
      <c r="J113" s="4"/>
      <c r="K113" s="5"/>
      <c r="L113" s="4" t="s">
        <v>113</v>
      </c>
      <c r="M113" s="8"/>
      <c r="N113" s="4"/>
      <c r="O113" s="8"/>
      <c r="P113" s="8"/>
      <c r="Q113" s="5"/>
      <c r="R113" s="5"/>
      <c r="S113" s="5"/>
      <c r="T113" s="5"/>
      <c r="U113" s="5"/>
      <c r="V113" s="4" t="s">
        <v>114</v>
      </c>
      <c r="W113" s="5"/>
      <c r="X113" s="5">
        <v>19316.98</v>
      </c>
      <c r="Y113" s="5">
        <f t="shared" si="18"/>
        <v>0</v>
      </c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>
        <f t="shared" si="19"/>
        <v>0</v>
      </c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>
        <f t="shared" si="20"/>
        <v>0</v>
      </c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>
        <f t="shared" si="21"/>
        <v>9658.49</v>
      </c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>
        <v>9658.49</v>
      </c>
      <c r="BY113" s="5">
        <f t="shared" si="22"/>
        <v>9658.49</v>
      </c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>
        <v>9658.49</v>
      </c>
      <c r="CK113" s="5"/>
      <c r="CL113" s="5">
        <f t="shared" si="23"/>
        <v>0</v>
      </c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7"/>
      <c r="CZ113" s="7"/>
      <c r="DA113" s="7"/>
      <c r="DB113" s="7"/>
      <c r="DC113" s="7"/>
      <c r="DD113" s="7"/>
      <c r="DE113" s="7"/>
      <c r="DF113" s="7"/>
      <c r="DG113" s="7"/>
      <c r="DH113" s="7"/>
      <c r="DI113" s="7"/>
      <c r="DJ113" s="7"/>
      <c r="DK113" s="7"/>
      <c r="DL113" s="7"/>
      <c r="DM113" s="7"/>
      <c r="DN113" s="7"/>
      <c r="DO113" s="7"/>
      <c r="DP113" s="7"/>
      <c r="DQ113" s="7"/>
      <c r="DR113" s="7"/>
      <c r="DS113" s="7"/>
      <c r="DT113" s="7"/>
      <c r="DU113" s="7"/>
      <c r="DV113" s="7"/>
      <c r="DW113" s="7"/>
      <c r="DX113" s="7"/>
      <c r="DY113" s="7"/>
      <c r="DZ113" s="7"/>
    </row>
    <row r="114" spans="1:130">
      <c r="A114" s="4">
        <v>920</v>
      </c>
      <c r="B114" s="4">
        <v>3490</v>
      </c>
      <c r="C114" s="4">
        <v>2493</v>
      </c>
      <c r="D114" s="4">
        <v>479</v>
      </c>
      <c r="E114" s="4"/>
      <c r="F114" s="4"/>
      <c r="G114" s="4"/>
      <c r="H114" s="4"/>
      <c r="I114" s="4"/>
      <c r="J114" s="4"/>
      <c r="K114" s="5"/>
      <c r="L114" s="4" t="s">
        <v>217</v>
      </c>
      <c r="M114" s="8" t="s">
        <v>218</v>
      </c>
      <c r="N114" s="4"/>
      <c r="O114" s="8"/>
      <c r="P114" s="8"/>
      <c r="Q114" s="5">
        <v>8429.64</v>
      </c>
      <c r="R114" s="5">
        <v>6240</v>
      </c>
      <c r="S114" s="5">
        <v>6240</v>
      </c>
      <c r="T114" s="5">
        <f>SUM(R114:S114)</f>
        <v>12480</v>
      </c>
      <c r="U114" s="5">
        <f>(T114-Q114)</f>
        <v>4050.3600000000006</v>
      </c>
      <c r="V114" s="4" t="s">
        <v>112</v>
      </c>
      <c r="W114" s="5">
        <v>0</v>
      </c>
      <c r="X114" s="5">
        <v>12480</v>
      </c>
      <c r="Y114" s="5">
        <f t="shared" si="18"/>
        <v>0</v>
      </c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>
        <f t="shared" si="19"/>
        <v>0</v>
      </c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>
        <f t="shared" si="20"/>
        <v>8429.64</v>
      </c>
      <c r="AZ114" s="5">
        <v>8429.64</v>
      </c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>
        <f t="shared" si="21"/>
        <v>0</v>
      </c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>
        <f t="shared" si="22"/>
        <v>0</v>
      </c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>
        <f t="shared" si="23"/>
        <v>0</v>
      </c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7"/>
      <c r="CZ114" s="7"/>
      <c r="DA114" s="7"/>
      <c r="DB114" s="7"/>
      <c r="DC114" s="7"/>
      <c r="DD114" s="7"/>
      <c r="DE114" s="7"/>
      <c r="DF114" s="7"/>
      <c r="DG114" s="7"/>
      <c r="DH114" s="7"/>
      <c r="DI114" s="7"/>
      <c r="DJ114" s="7"/>
      <c r="DK114" s="7"/>
      <c r="DL114" s="7"/>
      <c r="DM114" s="7"/>
      <c r="DN114" s="7"/>
      <c r="DO114" s="7"/>
      <c r="DP114" s="7"/>
      <c r="DQ114" s="7"/>
      <c r="DR114" s="7"/>
      <c r="DS114" s="7"/>
      <c r="DT114" s="7"/>
      <c r="DU114" s="7"/>
      <c r="DV114" s="7"/>
      <c r="DW114" s="7"/>
      <c r="DX114" s="7"/>
      <c r="DY114" s="7"/>
      <c r="DZ114" s="7"/>
    </row>
    <row r="115" spans="1:130">
      <c r="A115" s="4">
        <v>920</v>
      </c>
      <c r="B115" s="4">
        <v>3490</v>
      </c>
      <c r="C115" s="4">
        <v>2493</v>
      </c>
      <c r="D115" s="4">
        <v>479</v>
      </c>
      <c r="E115" s="4">
        <v>-1</v>
      </c>
      <c r="F115" s="4"/>
      <c r="G115" s="4"/>
      <c r="H115" s="4"/>
      <c r="I115" s="4"/>
      <c r="J115" s="4"/>
      <c r="K115" s="5"/>
      <c r="L115" s="4" t="s">
        <v>113</v>
      </c>
      <c r="M115" s="8"/>
      <c r="N115" s="4"/>
      <c r="O115" s="8"/>
      <c r="P115" s="8"/>
      <c r="Q115" s="5"/>
      <c r="R115" s="5"/>
      <c r="S115" s="5"/>
      <c r="T115" s="5"/>
      <c r="U115" s="5"/>
      <c r="V115" s="4" t="s">
        <v>114</v>
      </c>
      <c r="W115" s="5"/>
      <c r="X115" s="5">
        <v>6240</v>
      </c>
      <c r="Y115" s="5">
        <f t="shared" si="18"/>
        <v>0</v>
      </c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>
        <f t="shared" si="19"/>
        <v>0</v>
      </c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>
        <f t="shared" si="20"/>
        <v>0</v>
      </c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>
        <f t="shared" si="21"/>
        <v>0</v>
      </c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>
        <f t="shared" si="22"/>
        <v>6240</v>
      </c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>
        <v>6240</v>
      </c>
      <c r="CK115" s="5"/>
      <c r="CL115" s="5">
        <f t="shared" si="23"/>
        <v>0</v>
      </c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7"/>
      <c r="CZ115" s="7"/>
      <c r="DA115" s="7"/>
      <c r="DB115" s="7"/>
      <c r="DC115" s="7"/>
      <c r="DD115" s="7"/>
      <c r="DE115" s="7"/>
      <c r="DF115" s="7"/>
      <c r="DG115" s="7"/>
      <c r="DH115" s="7"/>
      <c r="DI115" s="7"/>
      <c r="DJ115" s="7"/>
      <c r="DK115" s="7"/>
      <c r="DL115" s="7"/>
      <c r="DM115" s="7"/>
      <c r="DN115" s="7"/>
      <c r="DO115" s="7"/>
      <c r="DP115" s="7"/>
      <c r="DQ115" s="7"/>
      <c r="DR115" s="7"/>
      <c r="DS115" s="7"/>
      <c r="DT115" s="7"/>
      <c r="DU115" s="7"/>
      <c r="DV115" s="7"/>
      <c r="DW115" s="7"/>
      <c r="DX115" s="7"/>
      <c r="DY115" s="7"/>
      <c r="DZ115" s="7"/>
    </row>
    <row r="116" spans="1:130" ht="26">
      <c r="A116" s="4">
        <v>920</v>
      </c>
      <c r="B116" s="4">
        <v>3490</v>
      </c>
      <c r="C116" s="4">
        <v>2493</v>
      </c>
      <c r="D116" s="4">
        <v>479</v>
      </c>
      <c r="E116" s="4">
        <v>985693</v>
      </c>
      <c r="F116" s="4"/>
      <c r="G116" s="4"/>
      <c r="H116" s="4"/>
      <c r="I116" s="4"/>
      <c r="J116" s="4"/>
      <c r="K116" s="5"/>
      <c r="L116" s="4" t="s">
        <v>113</v>
      </c>
      <c r="M116" s="8"/>
      <c r="N116" s="4" t="s">
        <v>187</v>
      </c>
      <c r="O116" s="8" t="s">
        <v>168</v>
      </c>
      <c r="P116" s="8" t="s">
        <v>188</v>
      </c>
      <c r="Q116" s="5"/>
      <c r="R116" s="5">
        <v>6240</v>
      </c>
      <c r="S116" s="5"/>
      <c r="T116" s="5"/>
      <c r="U116" s="5"/>
      <c r="V116" s="4" t="s">
        <v>120</v>
      </c>
      <c r="W116" s="5"/>
      <c r="X116" s="5"/>
      <c r="Y116" s="5">
        <f t="shared" si="18"/>
        <v>0</v>
      </c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>
        <f t="shared" si="19"/>
        <v>0</v>
      </c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>
        <f t="shared" si="20"/>
        <v>0</v>
      </c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>
        <f t="shared" si="21"/>
        <v>0</v>
      </c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>
        <f t="shared" si="22"/>
        <v>0</v>
      </c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>
        <f t="shared" si="23"/>
        <v>6240.0000000000018</v>
      </c>
      <c r="CM116" s="5">
        <v>529.97</v>
      </c>
      <c r="CN116" s="5">
        <v>478.69</v>
      </c>
      <c r="CO116" s="5">
        <v>529.97</v>
      </c>
      <c r="CP116" s="5">
        <v>512.88</v>
      </c>
      <c r="CQ116" s="5">
        <v>529.97</v>
      </c>
      <c r="CR116" s="5">
        <v>512.88</v>
      </c>
      <c r="CS116" s="5">
        <v>529.97</v>
      </c>
      <c r="CT116" s="5">
        <v>529.97</v>
      </c>
      <c r="CU116" s="5">
        <v>512.88</v>
      </c>
      <c r="CV116" s="5">
        <v>529.97</v>
      </c>
      <c r="CW116" s="5">
        <v>512.88</v>
      </c>
      <c r="CX116" s="5">
        <v>529.97</v>
      </c>
      <c r="CY116" s="7"/>
      <c r="CZ116" s="7"/>
      <c r="DA116" s="7"/>
      <c r="DB116" s="7"/>
      <c r="DC116" s="7"/>
      <c r="DD116" s="7"/>
      <c r="DE116" s="7"/>
      <c r="DF116" s="7"/>
      <c r="DG116" s="7"/>
      <c r="DH116" s="7"/>
      <c r="DI116" s="7"/>
      <c r="DJ116" s="7"/>
      <c r="DK116" s="7"/>
      <c r="DL116" s="7"/>
      <c r="DM116" s="7"/>
      <c r="DN116" s="7"/>
      <c r="DO116" s="7"/>
      <c r="DP116" s="7"/>
      <c r="DQ116" s="7"/>
      <c r="DR116" s="7"/>
      <c r="DS116" s="7"/>
      <c r="DT116" s="7"/>
      <c r="DU116" s="7"/>
      <c r="DV116" s="7"/>
      <c r="DW116" s="7"/>
      <c r="DX116" s="7"/>
      <c r="DY116" s="7"/>
      <c r="DZ116" s="7"/>
    </row>
    <row r="117" spans="1:130">
      <c r="A117" s="4">
        <v>930</v>
      </c>
      <c r="B117" s="4">
        <v>3490</v>
      </c>
      <c r="C117" s="4">
        <v>2493</v>
      </c>
      <c r="D117" s="4">
        <v>480</v>
      </c>
      <c r="E117" s="4"/>
      <c r="F117" s="4"/>
      <c r="G117" s="4"/>
      <c r="H117" s="4"/>
      <c r="I117" s="4"/>
      <c r="J117" s="4"/>
      <c r="K117" s="5"/>
      <c r="L117" s="4" t="s">
        <v>219</v>
      </c>
      <c r="M117" s="8" t="s">
        <v>220</v>
      </c>
      <c r="N117" s="4"/>
      <c r="O117" s="8"/>
      <c r="P117" s="8"/>
      <c r="Q117" s="5">
        <v>8591.2999999999993</v>
      </c>
      <c r="R117" s="5">
        <v>6240</v>
      </c>
      <c r="S117" s="5">
        <v>6240</v>
      </c>
      <c r="T117" s="5">
        <f>SUM(R117:S117)</f>
        <v>12480</v>
      </c>
      <c r="U117" s="5">
        <f>(T117-Q117)</f>
        <v>3888.7000000000007</v>
      </c>
      <c r="V117" s="4" t="s">
        <v>112</v>
      </c>
      <c r="W117" s="5">
        <v>0</v>
      </c>
      <c r="X117" s="5">
        <v>12480</v>
      </c>
      <c r="Y117" s="5">
        <f t="shared" si="18"/>
        <v>0</v>
      </c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>
        <f t="shared" si="19"/>
        <v>0</v>
      </c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>
        <f t="shared" si="20"/>
        <v>8591.2999999999993</v>
      </c>
      <c r="AZ117" s="5">
        <v>8591.2999999999993</v>
      </c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>
        <f t="shared" si="21"/>
        <v>0</v>
      </c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>
        <f t="shared" si="22"/>
        <v>0</v>
      </c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>
        <f t="shared" si="23"/>
        <v>0</v>
      </c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7"/>
      <c r="CZ117" s="7"/>
      <c r="DA117" s="7"/>
      <c r="DB117" s="7"/>
      <c r="DC117" s="7"/>
      <c r="DD117" s="7"/>
      <c r="DE117" s="7"/>
      <c r="DF117" s="7"/>
      <c r="DG117" s="7"/>
      <c r="DH117" s="7"/>
      <c r="DI117" s="7"/>
      <c r="DJ117" s="7"/>
      <c r="DK117" s="7"/>
      <c r="DL117" s="7"/>
      <c r="DM117" s="7"/>
      <c r="DN117" s="7"/>
      <c r="DO117" s="7"/>
      <c r="DP117" s="7"/>
      <c r="DQ117" s="7"/>
      <c r="DR117" s="7"/>
      <c r="DS117" s="7"/>
      <c r="DT117" s="7"/>
      <c r="DU117" s="7"/>
      <c r="DV117" s="7"/>
      <c r="DW117" s="7"/>
      <c r="DX117" s="7"/>
      <c r="DY117" s="7"/>
      <c r="DZ117" s="7"/>
    </row>
    <row r="118" spans="1:130">
      <c r="A118" s="4">
        <v>930</v>
      </c>
      <c r="B118" s="4">
        <v>3490</v>
      </c>
      <c r="C118" s="4">
        <v>2493</v>
      </c>
      <c r="D118" s="4">
        <v>480</v>
      </c>
      <c r="E118" s="4">
        <v>-1</v>
      </c>
      <c r="F118" s="4"/>
      <c r="G118" s="4"/>
      <c r="H118" s="4"/>
      <c r="I118" s="4"/>
      <c r="J118" s="4"/>
      <c r="K118" s="5"/>
      <c r="L118" s="4" t="s">
        <v>113</v>
      </c>
      <c r="M118" s="8"/>
      <c r="N118" s="4"/>
      <c r="O118" s="8"/>
      <c r="P118" s="8"/>
      <c r="Q118" s="5"/>
      <c r="R118" s="5"/>
      <c r="S118" s="5"/>
      <c r="T118" s="5"/>
      <c r="U118" s="5"/>
      <c r="V118" s="4" t="s">
        <v>114</v>
      </c>
      <c r="W118" s="5"/>
      <c r="X118" s="5">
        <v>6240</v>
      </c>
      <c r="Y118" s="5">
        <f t="shared" si="18"/>
        <v>0</v>
      </c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>
        <f t="shared" si="19"/>
        <v>0</v>
      </c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>
        <f t="shared" si="20"/>
        <v>0</v>
      </c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>
        <f t="shared" si="21"/>
        <v>0</v>
      </c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>
        <f t="shared" si="22"/>
        <v>6240</v>
      </c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>
        <v>6240</v>
      </c>
      <c r="CK118" s="5"/>
      <c r="CL118" s="5">
        <f t="shared" si="23"/>
        <v>0</v>
      </c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7"/>
      <c r="CZ118" s="7"/>
      <c r="DA118" s="7"/>
      <c r="DB118" s="7"/>
      <c r="DC118" s="7"/>
      <c r="DD118" s="7"/>
      <c r="DE118" s="7"/>
      <c r="DF118" s="7"/>
      <c r="DG118" s="7"/>
      <c r="DH118" s="7"/>
      <c r="DI118" s="7"/>
      <c r="DJ118" s="7"/>
      <c r="DK118" s="7"/>
      <c r="DL118" s="7"/>
      <c r="DM118" s="7"/>
      <c r="DN118" s="7"/>
      <c r="DO118" s="7"/>
      <c r="DP118" s="7"/>
      <c r="DQ118" s="7"/>
      <c r="DR118" s="7"/>
      <c r="DS118" s="7"/>
      <c r="DT118" s="7"/>
      <c r="DU118" s="7"/>
      <c r="DV118" s="7"/>
      <c r="DW118" s="7"/>
      <c r="DX118" s="7"/>
      <c r="DY118" s="7"/>
      <c r="DZ118" s="7"/>
    </row>
    <row r="119" spans="1:130" ht="26">
      <c r="A119" s="4">
        <v>930</v>
      </c>
      <c r="B119" s="4">
        <v>3490</v>
      </c>
      <c r="C119" s="4">
        <v>2493</v>
      </c>
      <c r="D119" s="4">
        <v>480</v>
      </c>
      <c r="E119" s="4">
        <v>985693</v>
      </c>
      <c r="F119" s="4"/>
      <c r="G119" s="4"/>
      <c r="H119" s="4"/>
      <c r="I119" s="4"/>
      <c r="J119" s="4"/>
      <c r="K119" s="5"/>
      <c r="L119" s="4" t="s">
        <v>113</v>
      </c>
      <c r="M119" s="8"/>
      <c r="N119" s="4" t="s">
        <v>187</v>
      </c>
      <c r="O119" s="8" t="s">
        <v>168</v>
      </c>
      <c r="P119" s="8" t="s">
        <v>188</v>
      </c>
      <c r="Q119" s="5"/>
      <c r="R119" s="5">
        <v>6240</v>
      </c>
      <c r="S119" s="5"/>
      <c r="T119" s="5"/>
      <c r="U119" s="5"/>
      <c r="V119" s="4" t="s">
        <v>120</v>
      </c>
      <c r="W119" s="5"/>
      <c r="X119" s="5"/>
      <c r="Y119" s="5">
        <f t="shared" si="18"/>
        <v>0</v>
      </c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>
        <f t="shared" si="19"/>
        <v>0</v>
      </c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>
        <f t="shared" si="20"/>
        <v>0</v>
      </c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>
        <f t="shared" si="21"/>
        <v>0</v>
      </c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>
        <f t="shared" si="22"/>
        <v>0</v>
      </c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>
        <f t="shared" si="23"/>
        <v>6240.0000000000018</v>
      </c>
      <c r="CM119" s="5">
        <v>529.97</v>
      </c>
      <c r="CN119" s="5">
        <v>478.69</v>
      </c>
      <c r="CO119" s="5">
        <v>529.97</v>
      </c>
      <c r="CP119" s="5">
        <v>512.88</v>
      </c>
      <c r="CQ119" s="5">
        <v>529.97</v>
      </c>
      <c r="CR119" s="5">
        <v>512.88</v>
      </c>
      <c r="CS119" s="5">
        <v>529.97</v>
      </c>
      <c r="CT119" s="5">
        <v>529.97</v>
      </c>
      <c r="CU119" s="5">
        <v>512.88</v>
      </c>
      <c r="CV119" s="5">
        <v>529.97</v>
      </c>
      <c r="CW119" s="5">
        <v>512.88</v>
      </c>
      <c r="CX119" s="5">
        <v>529.97</v>
      </c>
      <c r="CY119" s="7"/>
      <c r="CZ119" s="7"/>
      <c r="DA119" s="7"/>
      <c r="DB119" s="7"/>
      <c r="DC119" s="7"/>
      <c r="DD119" s="7"/>
      <c r="DE119" s="7"/>
      <c r="DF119" s="7"/>
      <c r="DG119" s="7"/>
      <c r="DH119" s="7"/>
      <c r="DI119" s="7"/>
      <c r="DJ119" s="7"/>
      <c r="DK119" s="7"/>
      <c r="DL119" s="7"/>
      <c r="DM119" s="7"/>
      <c r="DN119" s="7"/>
      <c r="DO119" s="7"/>
      <c r="DP119" s="7"/>
      <c r="DQ119" s="7"/>
      <c r="DR119" s="7"/>
      <c r="DS119" s="7"/>
      <c r="DT119" s="7"/>
      <c r="DU119" s="7"/>
      <c r="DV119" s="7"/>
      <c r="DW119" s="7"/>
      <c r="DX119" s="7"/>
      <c r="DY119" s="7"/>
      <c r="DZ119" s="7"/>
    </row>
    <row r="120" spans="1:130">
      <c r="A120" s="4">
        <v>940</v>
      </c>
      <c r="B120" s="4">
        <v>3490</v>
      </c>
      <c r="C120" s="4">
        <v>2493</v>
      </c>
      <c r="D120" s="4">
        <v>481</v>
      </c>
      <c r="E120" s="4"/>
      <c r="F120" s="4"/>
      <c r="G120" s="4"/>
      <c r="H120" s="4"/>
      <c r="I120" s="4"/>
      <c r="J120" s="4"/>
      <c r="K120" s="5"/>
      <c r="L120" s="4" t="s">
        <v>221</v>
      </c>
      <c r="M120" s="8" t="s">
        <v>222</v>
      </c>
      <c r="N120" s="4"/>
      <c r="O120" s="8"/>
      <c r="P120" s="8"/>
      <c r="Q120" s="5">
        <v>5000</v>
      </c>
      <c r="R120" s="5">
        <v>0</v>
      </c>
      <c r="S120" s="5">
        <v>5000</v>
      </c>
      <c r="T120" s="5">
        <f>SUM(R120:S120)</f>
        <v>5000</v>
      </c>
      <c r="U120" s="5">
        <f>(T120-Q120)</f>
        <v>0</v>
      </c>
      <c r="V120" s="4" t="s">
        <v>112</v>
      </c>
      <c r="W120" s="5">
        <v>0</v>
      </c>
      <c r="X120" s="5">
        <v>5000</v>
      </c>
      <c r="Y120" s="5">
        <f t="shared" si="18"/>
        <v>0</v>
      </c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>
        <f t="shared" si="19"/>
        <v>0</v>
      </c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>
        <f t="shared" si="20"/>
        <v>5000</v>
      </c>
      <c r="AZ120" s="5">
        <v>5000</v>
      </c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>
        <f t="shared" si="21"/>
        <v>0</v>
      </c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>
        <f t="shared" si="22"/>
        <v>0</v>
      </c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>
        <f t="shared" si="23"/>
        <v>0</v>
      </c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7"/>
      <c r="CZ120" s="7"/>
      <c r="DA120" s="7"/>
      <c r="DB120" s="7"/>
      <c r="DC120" s="7"/>
      <c r="DD120" s="7"/>
      <c r="DE120" s="7"/>
      <c r="DF120" s="7"/>
      <c r="DG120" s="7"/>
      <c r="DH120" s="7"/>
      <c r="DI120" s="7"/>
      <c r="DJ120" s="7"/>
      <c r="DK120" s="7"/>
      <c r="DL120" s="7"/>
      <c r="DM120" s="7"/>
      <c r="DN120" s="7"/>
      <c r="DO120" s="7"/>
      <c r="DP120" s="7"/>
      <c r="DQ120" s="7"/>
      <c r="DR120" s="7"/>
      <c r="DS120" s="7"/>
      <c r="DT120" s="7"/>
      <c r="DU120" s="7"/>
      <c r="DV120" s="7"/>
      <c r="DW120" s="7"/>
      <c r="DX120" s="7"/>
      <c r="DY120" s="7"/>
      <c r="DZ120" s="7"/>
    </row>
    <row r="121" spans="1:130">
      <c r="A121" s="4">
        <v>940</v>
      </c>
      <c r="B121" s="4">
        <v>3490</v>
      </c>
      <c r="C121" s="4">
        <v>2493</v>
      </c>
      <c r="D121" s="4">
        <v>481</v>
      </c>
      <c r="E121" s="4">
        <v>-1</v>
      </c>
      <c r="F121" s="4"/>
      <c r="G121" s="4"/>
      <c r="H121" s="4"/>
      <c r="I121" s="4"/>
      <c r="J121" s="4"/>
      <c r="K121" s="5"/>
      <c r="L121" s="4" t="s">
        <v>113</v>
      </c>
      <c r="M121" s="8"/>
      <c r="N121" s="4"/>
      <c r="O121" s="8"/>
      <c r="P121" s="8"/>
      <c r="Q121" s="5"/>
      <c r="R121" s="5"/>
      <c r="S121" s="5"/>
      <c r="T121" s="5"/>
      <c r="U121" s="5"/>
      <c r="V121" s="4" t="s">
        <v>114</v>
      </c>
      <c r="W121" s="5"/>
      <c r="X121" s="5">
        <v>5000</v>
      </c>
      <c r="Y121" s="5">
        <f t="shared" si="18"/>
        <v>0</v>
      </c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>
        <f t="shared" si="19"/>
        <v>0</v>
      </c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>
        <f t="shared" si="20"/>
        <v>0</v>
      </c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>
        <f t="shared" si="21"/>
        <v>0</v>
      </c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>
        <f t="shared" si="22"/>
        <v>5000</v>
      </c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>
        <v>5000</v>
      </c>
      <c r="CK121" s="5"/>
      <c r="CL121" s="5">
        <f t="shared" si="23"/>
        <v>0</v>
      </c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7"/>
      <c r="CZ121" s="7"/>
      <c r="DA121" s="7"/>
      <c r="DB121" s="7"/>
      <c r="DC121" s="7"/>
      <c r="DD121" s="7"/>
      <c r="DE121" s="7"/>
      <c r="DF121" s="7"/>
      <c r="DG121" s="7"/>
      <c r="DH121" s="7"/>
      <c r="DI121" s="7"/>
      <c r="DJ121" s="7"/>
      <c r="DK121" s="7"/>
      <c r="DL121" s="7"/>
      <c r="DM121" s="7"/>
      <c r="DN121" s="7"/>
      <c r="DO121" s="7"/>
      <c r="DP121" s="7"/>
      <c r="DQ121" s="7"/>
      <c r="DR121" s="7"/>
      <c r="DS121" s="7"/>
      <c r="DT121" s="7"/>
      <c r="DU121" s="7"/>
      <c r="DV121" s="7"/>
      <c r="DW121" s="7"/>
      <c r="DX121" s="7"/>
      <c r="DY121" s="7"/>
      <c r="DZ121" s="7"/>
    </row>
    <row r="122" spans="1:130">
      <c r="A122" s="4">
        <v>950</v>
      </c>
      <c r="B122" s="4">
        <v>3490</v>
      </c>
      <c r="C122" s="4">
        <v>2493</v>
      </c>
      <c r="D122" s="4">
        <v>571</v>
      </c>
      <c r="E122" s="4"/>
      <c r="F122" s="4"/>
      <c r="G122" s="4"/>
      <c r="H122" s="4"/>
      <c r="I122" s="4"/>
      <c r="J122" s="4"/>
      <c r="K122" s="5"/>
      <c r="L122" s="4" t="s">
        <v>223</v>
      </c>
      <c r="M122" s="8" t="s">
        <v>224</v>
      </c>
      <c r="N122" s="4"/>
      <c r="O122" s="8"/>
      <c r="P122" s="8"/>
      <c r="Q122" s="5">
        <v>20239</v>
      </c>
      <c r="R122" s="5">
        <v>0</v>
      </c>
      <c r="S122" s="5">
        <v>20239</v>
      </c>
      <c r="T122" s="5">
        <f>SUM(R122:S122)</f>
        <v>20239</v>
      </c>
      <c r="U122" s="5">
        <f>(T122-Q122)</f>
        <v>0</v>
      </c>
      <c r="V122" s="4" t="s">
        <v>112</v>
      </c>
      <c r="W122" s="5">
        <v>0</v>
      </c>
      <c r="X122" s="5">
        <v>20239</v>
      </c>
      <c r="Y122" s="5">
        <f t="shared" si="18"/>
        <v>0</v>
      </c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>
        <f t="shared" si="19"/>
        <v>0</v>
      </c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>
        <f t="shared" si="20"/>
        <v>20239</v>
      </c>
      <c r="AZ122" s="5">
        <v>20239</v>
      </c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>
        <f t="shared" si="21"/>
        <v>0</v>
      </c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>
        <f t="shared" si="22"/>
        <v>0</v>
      </c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>
        <f t="shared" si="23"/>
        <v>0</v>
      </c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7"/>
      <c r="CZ122" s="7"/>
      <c r="DA122" s="7"/>
      <c r="DB122" s="7"/>
      <c r="DC122" s="7"/>
      <c r="DD122" s="7"/>
      <c r="DE122" s="7"/>
      <c r="DF122" s="7"/>
      <c r="DG122" s="7"/>
      <c r="DH122" s="7"/>
      <c r="DI122" s="7"/>
      <c r="DJ122" s="7"/>
      <c r="DK122" s="7"/>
      <c r="DL122" s="7"/>
      <c r="DM122" s="7"/>
      <c r="DN122" s="7"/>
      <c r="DO122" s="7"/>
      <c r="DP122" s="7"/>
      <c r="DQ122" s="7"/>
      <c r="DR122" s="7"/>
      <c r="DS122" s="7"/>
      <c r="DT122" s="7"/>
      <c r="DU122" s="7"/>
      <c r="DV122" s="7"/>
      <c r="DW122" s="7"/>
      <c r="DX122" s="7"/>
      <c r="DY122" s="7"/>
      <c r="DZ122" s="7"/>
    </row>
    <row r="123" spans="1:130">
      <c r="A123" s="4">
        <v>950</v>
      </c>
      <c r="B123" s="4">
        <v>3490</v>
      </c>
      <c r="C123" s="4">
        <v>2493</v>
      </c>
      <c r="D123" s="4">
        <v>571</v>
      </c>
      <c r="E123" s="4">
        <v>-1</v>
      </c>
      <c r="F123" s="4"/>
      <c r="G123" s="4"/>
      <c r="H123" s="4"/>
      <c r="I123" s="4"/>
      <c r="J123" s="4"/>
      <c r="K123" s="5"/>
      <c r="L123" s="4" t="s">
        <v>113</v>
      </c>
      <c r="M123" s="8"/>
      <c r="N123" s="4"/>
      <c r="O123" s="8"/>
      <c r="P123" s="8"/>
      <c r="Q123" s="5"/>
      <c r="R123" s="5"/>
      <c r="S123" s="5"/>
      <c r="T123" s="5"/>
      <c r="U123" s="5"/>
      <c r="V123" s="4" t="s">
        <v>114</v>
      </c>
      <c r="W123" s="5"/>
      <c r="X123" s="5">
        <v>20239</v>
      </c>
      <c r="Y123" s="5">
        <f t="shared" si="18"/>
        <v>0</v>
      </c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>
        <f t="shared" si="19"/>
        <v>0</v>
      </c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>
        <f t="shared" si="20"/>
        <v>0</v>
      </c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>
        <f t="shared" si="21"/>
        <v>0</v>
      </c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>
        <f t="shared" si="22"/>
        <v>20239</v>
      </c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>
        <v>20239</v>
      </c>
      <c r="CK123" s="5"/>
      <c r="CL123" s="5">
        <f t="shared" si="23"/>
        <v>0</v>
      </c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7"/>
      <c r="CZ123" s="7"/>
      <c r="DA123" s="7"/>
      <c r="DB123" s="7"/>
      <c r="DC123" s="7"/>
      <c r="DD123" s="7"/>
      <c r="DE123" s="7"/>
      <c r="DF123" s="7"/>
      <c r="DG123" s="7"/>
      <c r="DH123" s="7"/>
      <c r="DI123" s="7"/>
      <c r="DJ123" s="7"/>
      <c r="DK123" s="7"/>
      <c r="DL123" s="7"/>
      <c r="DM123" s="7"/>
      <c r="DN123" s="7"/>
      <c r="DO123" s="7"/>
      <c r="DP123" s="7"/>
      <c r="DQ123" s="7"/>
      <c r="DR123" s="7"/>
      <c r="DS123" s="7"/>
      <c r="DT123" s="7"/>
      <c r="DU123" s="7"/>
      <c r="DV123" s="7"/>
      <c r="DW123" s="7"/>
      <c r="DX123" s="7"/>
      <c r="DY123" s="7"/>
      <c r="DZ123" s="7"/>
    </row>
    <row r="124" spans="1:130">
      <c r="A124" s="4">
        <v>960</v>
      </c>
      <c r="B124" s="4">
        <v>3490</v>
      </c>
      <c r="C124" s="4">
        <v>2493</v>
      </c>
      <c r="D124" s="4">
        <v>482</v>
      </c>
      <c r="E124" s="4"/>
      <c r="F124" s="4"/>
      <c r="G124" s="4"/>
      <c r="H124" s="4"/>
      <c r="I124" s="4"/>
      <c r="J124" s="4"/>
      <c r="K124" s="5"/>
      <c r="L124" s="4" t="s">
        <v>225</v>
      </c>
      <c r="M124" s="8" t="s">
        <v>226</v>
      </c>
      <c r="N124" s="4"/>
      <c r="O124" s="8"/>
      <c r="P124" s="8"/>
      <c r="Q124" s="5">
        <v>144877.37</v>
      </c>
      <c r="R124" s="5">
        <v>159688.60999999999</v>
      </c>
      <c r="S124" s="5">
        <v>0</v>
      </c>
      <c r="T124" s="5">
        <f>SUM(R124:S124)</f>
        <v>159688.60999999999</v>
      </c>
      <c r="U124" s="5">
        <f>(T124-Q124)</f>
        <v>14811.239999999991</v>
      </c>
      <c r="V124" s="4" t="s">
        <v>112</v>
      </c>
      <c r="W124" s="5">
        <v>25550.18</v>
      </c>
      <c r="X124" s="5">
        <v>134138.43</v>
      </c>
      <c r="Y124" s="5">
        <f t="shared" si="18"/>
        <v>0</v>
      </c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>
        <f t="shared" si="19"/>
        <v>0</v>
      </c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>
        <f t="shared" si="20"/>
        <v>144877.37</v>
      </c>
      <c r="AZ124" s="5">
        <v>144877.37</v>
      </c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>
        <f t="shared" si="21"/>
        <v>0</v>
      </c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>
        <f t="shared" si="22"/>
        <v>0</v>
      </c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>
        <f t="shared" si="23"/>
        <v>0</v>
      </c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7"/>
      <c r="CZ124" s="7"/>
      <c r="DA124" s="7"/>
      <c r="DB124" s="7"/>
      <c r="DC124" s="7"/>
      <c r="DD124" s="7"/>
      <c r="DE124" s="7"/>
      <c r="DF124" s="7"/>
      <c r="DG124" s="7"/>
      <c r="DH124" s="7"/>
      <c r="DI124" s="7"/>
      <c r="DJ124" s="7"/>
      <c r="DK124" s="7"/>
      <c r="DL124" s="7"/>
      <c r="DM124" s="7"/>
      <c r="DN124" s="7"/>
      <c r="DO124" s="7"/>
      <c r="DP124" s="7"/>
      <c r="DQ124" s="7"/>
      <c r="DR124" s="7"/>
      <c r="DS124" s="7"/>
      <c r="DT124" s="7"/>
      <c r="DU124" s="7"/>
      <c r="DV124" s="7"/>
      <c r="DW124" s="7"/>
      <c r="DX124" s="7"/>
      <c r="DY124" s="7"/>
      <c r="DZ124" s="7"/>
    </row>
    <row r="125" spans="1:130">
      <c r="A125" s="4">
        <v>960</v>
      </c>
      <c r="B125" s="4">
        <v>3490</v>
      </c>
      <c r="C125" s="4">
        <v>2493</v>
      </c>
      <c r="D125" s="4">
        <v>482</v>
      </c>
      <c r="E125" s="4">
        <v>-1</v>
      </c>
      <c r="F125" s="4"/>
      <c r="G125" s="4"/>
      <c r="H125" s="4"/>
      <c r="I125" s="4"/>
      <c r="J125" s="4"/>
      <c r="K125" s="5"/>
      <c r="L125" s="4" t="s">
        <v>113</v>
      </c>
      <c r="M125" s="8"/>
      <c r="N125" s="4"/>
      <c r="O125" s="8"/>
      <c r="P125" s="8"/>
      <c r="Q125" s="5"/>
      <c r="R125" s="5"/>
      <c r="S125" s="5"/>
      <c r="T125" s="5"/>
      <c r="U125" s="5"/>
      <c r="V125" s="4" t="s">
        <v>114</v>
      </c>
      <c r="W125" s="5"/>
      <c r="X125" s="5">
        <v>0</v>
      </c>
      <c r="Y125" s="5">
        <f t="shared" si="18"/>
        <v>0</v>
      </c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>
        <f t="shared" si="19"/>
        <v>0</v>
      </c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>
        <f t="shared" si="20"/>
        <v>0</v>
      </c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>
        <f t="shared" si="21"/>
        <v>0</v>
      </c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>
        <f t="shared" si="22"/>
        <v>0</v>
      </c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>
        <f t="shared" si="23"/>
        <v>0</v>
      </c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7"/>
      <c r="CZ125" s="7"/>
      <c r="DA125" s="7"/>
      <c r="DB125" s="7"/>
      <c r="DC125" s="7"/>
      <c r="DD125" s="7"/>
      <c r="DE125" s="7"/>
      <c r="DF125" s="7"/>
      <c r="DG125" s="7"/>
      <c r="DH125" s="7"/>
      <c r="DI125" s="7"/>
      <c r="DJ125" s="7"/>
      <c r="DK125" s="7"/>
      <c r="DL125" s="7"/>
      <c r="DM125" s="7"/>
      <c r="DN125" s="7"/>
      <c r="DO125" s="7"/>
      <c r="DP125" s="7"/>
      <c r="DQ125" s="7"/>
      <c r="DR125" s="7"/>
      <c r="DS125" s="7"/>
      <c r="DT125" s="7"/>
      <c r="DU125" s="7"/>
      <c r="DV125" s="7"/>
      <c r="DW125" s="7"/>
      <c r="DX125" s="7"/>
      <c r="DY125" s="7"/>
      <c r="DZ125" s="7"/>
    </row>
    <row r="126" spans="1:130">
      <c r="A126" s="4">
        <v>970</v>
      </c>
      <c r="B126" s="4">
        <v>3490</v>
      </c>
      <c r="C126" s="4">
        <v>2493</v>
      </c>
      <c r="D126" s="4">
        <v>483</v>
      </c>
      <c r="E126" s="4"/>
      <c r="F126" s="4"/>
      <c r="G126" s="4"/>
      <c r="H126" s="4"/>
      <c r="I126" s="4"/>
      <c r="J126" s="4"/>
      <c r="K126" s="5"/>
      <c r="L126" s="4" t="s">
        <v>227</v>
      </c>
      <c r="M126" s="8" t="s">
        <v>226</v>
      </c>
      <c r="N126" s="4"/>
      <c r="O126" s="8"/>
      <c r="P126" s="8"/>
      <c r="Q126" s="5">
        <v>144877.37</v>
      </c>
      <c r="R126" s="5">
        <v>159688.60999999999</v>
      </c>
      <c r="S126" s="5">
        <v>0</v>
      </c>
      <c r="T126" s="5">
        <f>SUM(R126:S126)</f>
        <v>159688.60999999999</v>
      </c>
      <c r="U126" s="5">
        <f>(T126-Q126)</f>
        <v>14811.239999999991</v>
      </c>
      <c r="V126" s="4" t="s">
        <v>112</v>
      </c>
      <c r="W126" s="5">
        <v>25550.18</v>
      </c>
      <c r="X126" s="5">
        <v>134138.43</v>
      </c>
      <c r="Y126" s="5">
        <f t="shared" si="18"/>
        <v>0</v>
      </c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>
        <f t="shared" si="19"/>
        <v>0</v>
      </c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>
        <f t="shared" si="20"/>
        <v>144877.37</v>
      </c>
      <c r="AZ126" s="5">
        <v>144877.37</v>
      </c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>
        <f t="shared" si="21"/>
        <v>0</v>
      </c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>
        <f t="shared" si="22"/>
        <v>0</v>
      </c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>
        <f t="shared" si="23"/>
        <v>0</v>
      </c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7"/>
      <c r="CZ126" s="7"/>
      <c r="DA126" s="7"/>
      <c r="DB126" s="7"/>
      <c r="DC126" s="7"/>
      <c r="DD126" s="7"/>
      <c r="DE126" s="7"/>
      <c r="DF126" s="7"/>
      <c r="DG126" s="7"/>
      <c r="DH126" s="7"/>
      <c r="DI126" s="7"/>
      <c r="DJ126" s="7"/>
      <c r="DK126" s="7"/>
      <c r="DL126" s="7"/>
      <c r="DM126" s="7"/>
      <c r="DN126" s="7"/>
      <c r="DO126" s="7"/>
      <c r="DP126" s="7"/>
      <c r="DQ126" s="7"/>
      <c r="DR126" s="7"/>
      <c r="DS126" s="7"/>
      <c r="DT126" s="7"/>
      <c r="DU126" s="7"/>
      <c r="DV126" s="7"/>
      <c r="DW126" s="7"/>
      <c r="DX126" s="7"/>
      <c r="DY126" s="7"/>
      <c r="DZ126" s="7"/>
    </row>
    <row r="127" spans="1:130">
      <c r="A127" s="4">
        <v>970</v>
      </c>
      <c r="B127" s="4">
        <v>3490</v>
      </c>
      <c r="C127" s="4">
        <v>2493</v>
      </c>
      <c r="D127" s="4">
        <v>483</v>
      </c>
      <c r="E127" s="4">
        <v>-1</v>
      </c>
      <c r="F127" s="4"/>
      <c r="G127" s="4"/>
      <c r="H127" s="4"/>
      <c r="I127" s="4"/>
      <c r="J127" s="4"/>
      <c r="K127" s="5"/>
      <c r="L127" s="4" t="s">
        <v>113</v>
      </c>
      <c r="M127" s="8"/>
      <c r="N127" s="4"/>
      <c r="O127" s="8"/>
      <c r="P127" s="8"/>
      <c r="Q127" s="5"/>
      <c r="R127" s="5"/>
      <c r="S127" s="5"/>
      <c r="T127" s="5"/>
      <c r="U127" s="5"/>
      <c r="V127" s="4" t="s">
        <v>114</v>
      </c>
      <c r="W127" s="5"/>
      <c r="X127" s="5">
        <v>0</v>
      </c>
      <c r="Y127" s="5">
        <f t="shared" si="18"/>
        <v>0</v>
      </c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>
        <f t="shared" si="19"/>
        <v>0</v>
      </c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>
        <f t="shared" si="20"/>
        <v>0</v>
      </c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>
        <f t="shared" si="21"/>
        <v>0</v>
      </c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>
        <f t="shared" si="22"/>
        <v>0</v>
      </c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>
        <f t="shared" si="23"/>
        <v>0</v>
      </c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7"/>
      <c r="CZ127" s="7"/>
      <c r="DA127" s="7"/>
      <c r="DB127" s="7"/>
      <c r="DC127" s="7"/>
      <c r="DD127" s="7"/>
      <c r="DE127" s="7"/>
      <c r="DF127" s="7"/>
      <c r="DG127" s="7"/>
      <c r="DH127" s="7"/>
      <c r="DI127" s="7"/>
      <c r="DJ127" s="7"/>
      <c r="DK127" s="7"/>
      <c r="DL127" s="7"/>
      <c r="DM127" s="7"/>
      <c r="DN127" s="7"/>
      <c r="DO127" s="7"/>
      <c r="DP127" s="7"/>
      <c r="DQ127" s="7"/>
      <c r="DR127" s="7"/>
      <c r="DS127" s="7"/>
      <c r="DT127" s="7"/>
      <c r="DU127" s="7"/>
      <c r="DV127" s="7"/>
      <c r="DW127" s="7"/>
      <c r="DX127" s="7"/>
      <c r="DY127" s="7"/>
      <c r="DZ127" s="7"/>
    </row>
    <row r="128" spans="1:130">
      <c r="A128" s="4">
        <v>970</v>
      </c>
      <c r="B128" s="4">
        <v>3490</v>
      </c>
      <c r="C128" s="4">
        <v>2493</v>
      </c>
      <c r="D128" s="4">
        <v>483</v>
      </c>
      <c r="E128" s="4">
        <v>965921</v>
      </c>
      <c r="F128" s="4"/>
      <c r="G128" s="4"/>
      <c r="H128" s="4"/>
      <c r="I128" s="4"/>
      <c r="J128" s="4"/>
      <c r="K128" s="5"/>
      <c r="L128" s="4" t="s">
        <v>113</v>
      </c>
      <c r="M128" s="8"/>
      <c r="N128" s="4" t="s">
        <v>228</v>
      </c>
      <c r="O128" s="8" t="s">
        <v>229</v>
      </c>
      <c r="P128" s="8" t="s">
        <v>230</v>
      </c>
      <c r="Q128" s="5"/>
      <c r="R128" s="5">
        <v>159688.60999999999</v>
      </c>
      <c r="S128" s="5"/>
      <c r="T128" s="5"/>
      <c r="U128" s="5"/>
      <c r="V128" s="4" t="s">
        <v>120</v>
      </c>
      <c r="W128" s="5"/>
      <c r="X128" s="5"/>
      <c r="Y128" s="5">
        <f t="shared" si="18"/>
        <v>0</v>
      </c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>
        <f t="shared" si="19"/>
        <v>0</v>
      </c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>
        <f t="shared" si="20"/>
        <v>79844.31</v>
      </c>
      <c r="AZ128" s="5"/>
      <c r="BA128" s="5"/>
      <c r="BB128" s="5"/>
      <c r="BC128" s="5">
        <v>8710.2900000000009</v>
      </c>
      <c r="BD128" s="5">
        <v>9000.6299999999992</v>
      </c>
      <c r="BE128" s="5">
        <v>8710.2900000000009</v>
      </c>
      <c r="BF128" s="5">
        <v>9000.6299999999992</v>
      </c>
      <c r="BG128" s="5">
        <v>9000.6299999999992</v>
      </c>
      <c r="BH128" s="5">
        <v>8710.2900000000009</v>
      </c>
      <c r="BI128" s="5">
        <v>9000.6299999999992</v>
      </c>
      <c r="BJ128" s="5">
        <v>8710.2900000000009</v>
      </c>
      <c r="BK128" s="5">
        <v>9000.6299999999992</v>
      </c>
      <c r="BL128" s="5">
        <f t="shared" si="21"/>
        <v>15968.86</v>
      </c>
      <c r="BM128" s="5">
        <v>1356.26</v>
      </c>
      <c r="BN128" s="5">
        <v>1225.01</v>
      </c>
      <c r="BO128" s="5">
        <v>1356.26</v>
      </c>
      <c r="BP128" s="5">
        <v>1312.51</v>
      </c>
      <c r="BQ128" s="5">
        <v>1356.26</v>
      </c>
      <c r="BR128" s="5">
        <v>1312.51</v>
      </c>
      <c r="BS128" s="5">
        <v>1356.26</v>
      </c>
      <c r="BT128" s="5">
        <v>1356.26</v>
      </c>
      <c r="BU128" s="5">
        <v>1312.51</v>
      </c>
      <c r="BV128" s="5">
        <v>1356.26</v>
      </c>
      <c r="BW128" s="5">
        <v>1312.51</v>
      </c>
      <c r="BX128" s="5">
        <v>1356.25</v>
      </c>
      <c r="BY128" s="5">
        <f t="shared" si="22"/>
        <v>63875.44000000001</v>
      </c>
      <c r="BZ128" s="5">
        <v>5410.22</v>
      </c>
      <c r="CA128" s="5">
        <v>5061.17</v>
      </c>
      <c r="CB128" s="5">
        <v>5410.22</v>
      </c>
      <c r="CC128" s="5">
        <v>5235.6899999999996</v>
      </c>
      <c r="CD128" s="5">
        <v>5410.22</v>
      </c>
      <c r="CE128" s="5">
        <v>5235.6899999999996</v>
      </c>
      <c r="CF128" s="5">
        <v>5410.22</v>
      </c>
      <c r="CG128" s="5">
        <v>5410.22</v>
      </c>
      <c r="CH128" s="5">
        <v>5235.6899999999996</v>
      </c>
      <c r="CI128" s="5">
        <v>5410.22</v>
      </c>
      <c r="CJ128" s="5">
        <v>5235.6899999999996</v>
      </c>
      <c r="CK128" s="5">
        <v>5410.19</v>
      </c>
      <c r="CL128" s="5">
        <f t="shared" si="23"/>
        <v>0</v>
      </c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7"/>
      <c r="CZ128" s="7"/>
      <c r="DA128" s="7"/>
      <c r="DB128" s="7"/>
      <c r="DC128" s="7"/>
      <c r="DD128" s="7"/>
      <c r="DE128" s="7"/>
      <c r="DF128" s="7"/>
      <c r="DG128" s="7"/>
      <c r="DH128" s="7"/>
      <c r="DI128" s="7"/>
      <c r="DJ128" s="7"/>
      <c r="DK128" s="7"/>
      <c r="DL128" s="7"/>
      <c r="DM128" s="7"/>
      <c r="DN128" s="7"/>
      <c r="DO128" s="7"/>
      <c r="DP128" s="7"/>
      <c r="DQ128" s="7"/>
      <c r="DR128" s="7"/>
      <c r="DS128" s="7"/>
      <c r="DT128" s="7"/>
      <c r="DU128" s="7"/>
      <c r="DV128" s="7"/>
      <c r="DW128" s="7"/>
      <c r="DX128" s="7"/>
      <c r="DY128" s="7"/>
      <c r="DZ128" s="7"/>
    </row>
    <row r="129" spans="1:130">
      <c r="A129" s="4">
        <v>970</v>
      </c>
      <c r="B129" s="4">
        <v>3490</v>
      </c>
      <c r="C129" s="4">
        <v>2493</v>
      </c>
      <c r="D129" s="4">
        <v>483</v>
      </c>
      <c r="E129" s="4">
        <v>965921</v>
      </c>
      <c r="F129" s="4"/>
      <c r="G129" s="4"/>
      <c r="H129" s="4"/>
      <c r="I129" s="4"/>
      <c r="J129" s="4"/>
      <c r="K129" s="5"/>
      <c r="L129" s="4" t="s">
        <v>113</v>
      </c>
      <c r="M129" s="8"/>
      <c r="N129" s="4" t="s">
        <v>228</v>
      </c>
      <c r="O129" s="8" t="s">
        <v>229</v>
      </c>
      <c r="P129" s="8" t="s">
        <v>230</v>
      </c>
      <c r="Q129" s="5"/>
      <c r="R129" s="5">
        <v>0</v>
      </c>
      <c r="S129" s="5"/>
      <c r="T129" s="5"/>
      <c r="U129" s="5"/>
      <c r="V129" s="4" t="s">
        <v>121</v>
      </c>
      <c r="W129" s="5">
        <v>25550.18</v>
      </c>
      <c r="X129" s="5"/>
      <c r="Y129" s="5">
        <f t="shared" si="18"/>
        <v>0</v>
      </c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>
        <f t="shared" si="19"/>
        <v>0</v>
      </c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>
        <f t="shared" si="20"/>
        <v>25550.18</v>
      </c>
      <c r="AZ129" s="5"/>
      <c r="BA129" s="5"/>
      <c r="BB129" s="5"/>
      <c r="BC129" s="5"/>
      <c r="BD129" s="5"/>
      <c r="BE129" s="5">
        <v>25550.18</v>
      </c>
      <c r="BF129" s="5"/>
      <c r="BG129" s="5"/>
      <c r="BH129" s="5"/>
      <c r="BI129" s="5"/>
      <c r="BJ129" s="5"/>
      <c r="BK129" s="5"/>
      <c r="BL129" s="5">
        <f t="shared" si="21"/>
        <v>0</v>
      </c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>
        <f t="shared" si="22"/>
        <v>0</v>
      </c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>
        <f t="shared" si="23"/>
        <v>0</v>
      </c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7"/>
      <c r="CZ129" s="7"/>
      <c r="DA129" s="7"/>
      <c r="DB129" s="7"/>
      <c r="DC129" s="7"/>
      <c r="DD129" s="7"/>
      <c r="DE129" s="7"/>
      <c r="DF129" s="7"/>
      <c r="DG129" s="7"/>
      <c r="DH129" s="7"/>
      <c r="DI129" s="7"/>
      <c r="DJ129" s="7"/>
      <c r="DK129" s="7"/>
      <c r="DL129" s="7"/>
      <c r="DM129" s="7"/>
      <c r="DN129" s="7"/>
      <c r="DO129" s="7"/>
      <c r="DP129" s="7"/>
      <c r="DQ129" s="7"/>
      <c r="DR129" s="7"/>
      <c r="DS129" s="7"/>
      <c r="DT129" s="7"/>
      <c r="DU129" s="7"/>
      <c r="DV129" s="7"/>
      <c r="DW129" s="7"/>
      <c r="DX129" s="7"/>
      <c r="DY129" s="7"/>
      <c r="DZ129" s="7"/>
    </row>
    <row r="130" spans="1:130">
      <c r="A130" s="4">
        <v>980</v>
      </c>
      <c r="B130" s="4">
        <v>3490</v>
      </c>
      <c r="C130" s="4">
        <v>2493</v>
      </c>
      <c r="D130" s="4">
        <v>493</v>
      </c>
      <c r="E130" s="4"/>
      <c r="F130" s="4"/>
      <c r="G130" s="4"/>
      <c r="H130" s="4"/>
      <c r="I130" s="4"/>
      <c r="J130" s="4"/>
      <c r="K130" s="5"/>
      <c r="L130" s="4" t="s">
        <v>231</v>
      </c>
      <c r="M130" s="8" t="s">
        <v>232</v>
      </c>
      <c r="N130" s="4"/>
      <c r="O130" s="8"/>
      <c r="P130" s="8"/>
      <c r="Q130" s="5">
        <v>25000</v>
      </c>
      <c r="R130" s="5">
        <v>17253.939999999999</v>
      </c>
      <c r="S130" s="5">
        <v>62835</v>
      </c>
      <c r="T130" s="5">
        <f>SUM(R130:S130)</f>
        <v>80088.94</v>
      </c>
      <c r="U130" s="5">
        <f>(T130-Q130)</f>
        <v>55088.94</v>
      </c>
      <c r="V130" s="4" t="s">
        <v>112</v>
      </c>
      <c r="W130" s="5">
        <v>17253.939999999999</v>
      </c>
      <c r="X130" s="5">
        <v>62835</v>
      </c>
      <c r="Y130" s="5">
        <f t="shared" si="18"/>
        <v>0</v>
      </c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>
        <f t="shared" si="19"/>
        <v>0</v>
      </c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>
        <f t="shared" si="20"/>
        <v>25000</v>
      </c>
      <c r="AZ130" s="5">
        <v>25000</v>
      </c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>
        <f t="shared" si="21"/>
        <v>0</v>
      </c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>
        <f t="shared" si="22"/>
        <v>0</v>
      </c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>
        <f t="shared" si="23"/>
        <v>0</v>
      </c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7"/>
      <c r="CZ130" s="7"/>
      <c r="DA130" s="7"/>
      <c r="DB130" s="7"/>
      <c r="DC130" s="7"/>
      <c r="DD130" s="7"/>
      <c r="DE130" s="7"/>
      <c r="DF130" s="7"/>
      <c r="DG130" s="7"/>
      <c r="DH130" s="7"/>
      <c r="DI130" s="7"/>
      <c r="DJ130" s="7"/>
      <c r="DK130" s="7"/>
      <c r="DL130" s="7"/>
      <c r="DM130" s="7"/>
      <c r="DN130" s="7"/>
      <c r="DO130" s="7"/>
      <c r="DP130" s="7"/>
      <c r="DQ130" s="7"/>
      <c r="DR130" s="7"/>
      <c r="DS130" s="7"/>
      <c r="DT130" s="7"/>
      <c r="DU130" s="7"/>
      <c r="DV130" s="7"/>
      <c r="DW130" s="7"/>
      <c r="DX130" s="7"/>
      <c r="DY130" s="7"/>
      <c r="DZ130" s="7"/>
    </row>
    <row r="131" spans="1:130">
      <c r="A131" s="4">
        <v>980</v>
      </c>
      <c r="B131" s="4">
        <v>3490</v>
      </c>
      <c r="C131" s="4">
        <v>2493</v>
      </c>
      <c r="D131" s="4">
        <v>493</v>
      </c>
      <c r="E131" s="4">
        <v>-1</v>
      </c>
      <c r="F131" s="4"/>
      <c r="G131" s="4"/>
      <c r="H131" s="4"/>
      <c r="I131" s="4"/>
      <c r="J131" s="4"/>
      <c r="K131" s="5"/>
      <c r="L131" s="4" t="s">
        <v>113</v>
      </c>
      <c r="M131" s="8"/>
      <c r="N131" s="4"/>
      <c r="O131" s="8"/>
      <c r="P131" s="8"/>
      <c r="Q131" s="5"/>
      <c r="R131" s="5"/>
      <c r="S131" s="5"/>
      <c r="T131" s="5"/>
      <c r="U131" s="5"/>
      <c r="V131" s="4" t="s">
        <v>114</v>
      </c>
      <c r="W131" s="5"/>
      <c r="X131" s="5">
        <v>62835</v>
      </c>
      <c r="Y131" s="5">
        <f t="shared" si="18"/>
        <v>0</v>
      </c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>
        <f t="shared" si="19"/>
        <v>0</v>
      </c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>
        <f t="shared" si="20"/>
        <v>0</v>
      </c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>
        <f t="shared" si="21"/>
        <v>0</v>
      </c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>
        <f t="shared" si="22"/>
        <v>0</v>
      </c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>
        <f t="shared" si="23"/>
        <v>0</v>
      </c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7"/>
      <c r="CZ131" s="7"/>
      <c r="DA131" s="7"/>
      <c r="DB131" s="7"/>
      <c r="DC131" s="7"/>
      <c r="DD131" s="7"/>
      <c r="DE131" s="7"/>
      <c r="DF131" s="7"/>
      <c r="DG131" s="7"/>
      <c r="DH131" s="7"/>
      <c r="DI131" s="7"/>
      <c r="DJ131" s="7"/>
      <c r="DK131" s="7"/>
      <c r="DL131" s="7"/>
      <c r="DM131" s="7"/>
      <c r="DN131" s="7"/>
      <c r="DO131" s="7"/>
      <c r="DP131" s="7"/>
      <c r="DQ131" s="7"/>
      <c r="DR131" s="7"/>
      <c r="DS131" s="7"/>
      <c r="DT131" s="7"/>
      <c r="DU131" s="7"/>
      <c r="DV131" s="7"/>
      <c r="DW131" s="7"/>
      <c r="DX131" s="7"/>
      <c r="DY131" s="7"/>
      <c r="DZ131" s="7"/>
    </row>
    <row r="132" spans="1:130">
      <c r="A132" s="4">
        <v>990</v>
      </c>
      <c r="B132" s="4">
        <v>3490</v>
      </c>
      <c r="C132" s="4">
        <v>2493</v>
      </c>
      <c r="D132" s="4">
        <v>494</v>
      </c>
      <c r="E132" s="4"/>
      <c r="F132" s="4"/>
      <c r="G132" s="4"/>
      <c r="H132" s="4"/>
      <c r="I132" s="4"/>
      <c r="J132" s="4"/>
      <c r="K132" s="5"/>
      <c r="L132" s="4" t="s">
        <v>233</v>
      </c>
      <c r="M132" s="8" t="s">
        <v>232</v>
      </c>
      <c r="N132" s="4"/>
      <c r="O132" s="8"/>
      <c r="P132" s="8"/>
      <c r="Q132" s="5">
        <v>5000</v>
      </c>
      <c r="R132" s="5">
        <v>5130</v>
      </c>
      <c r="S132" s="5">
        <v>0</v>
      </c>
      <c r="T132" s="5">
        <f>SUM(R132:S132)</f>
        <v>5130</v>
      </c>
      <c r="U132" s="5">
        <f>(T132-Q132)</f>
        <v>130</v>
      </c>
      <c r="V132" s="4" t="s">
        <v>112</v>
      </c>
      <c r="W132" s="5">
        <v>5130</v>
      </c>
      <c r="X132" s="5">
        <v>0</v>
      </c>
      <c r="Y132" s="5">
        <f t="shared" si="18"/>
        <v>0</v>
      </c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>
        <f t="shared" si="19"/>
        <v>0</v>
      </c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>
        <f t="shared" si="20"/>
        <v>5000</v>
      </c>
      <c r="AZ132" s="5">
        <v>5000</v>
      </c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>
        <f t="shared" si="21"/>
        <v>0</v>
      </c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>
        <f t="shared" si="22"/>
        <v>0</v>
      </c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>
        <f t="shared" si="23"/>
        <v>0</v>
      </c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7"/>
      <c r="CZ132" s="7"/>
      <c r="DA132" s="7"/>
      <c r="DB132" s="7"/>
      <c r="DC132" s="7"/>
      <c r="DD132" s="7"/>
      <c r="DE132" s="7"/>
      <c r="DF132" s="7"/>
      <c r="DG132" s="7"/>
      <c r="DH132" s="7"/>
      <c r="DI132" s="7"/>
      <c r="DJ132" s="7"/>
      <c r="DK132" s="7"/>
      <c r="DL132" s="7"/>
      <c r="DM132" s="7"/>
      <c r="DN132" s="7"/>
      <c r="DO132" s="7"/>
      <c r="DP132" s="7"/>
      <c r="DQ132" s="7"/>
      <c r="DR132" s="7"/>
      <c r="DS132" s="7"/>
      <c r="DT132" s="7"/>
      <c r="DU132" s="7"/>
      <c r="DV132" s="7"/>
      <c r="DW132" s="7"/>
      <c r="DX132" s="7"/>
      <c r="DY132" s="7"/>
      <c r="DZ132" s="7"/>
    </row>
    <row r="133" spans="1:130">
      <c r="A133" s="4">
        <v>990</v>
      </c>
      <c r="B133" s="4">
        <v>3490</v>
      </c>
      <c r="C133" s="4">
        <v>2493</v>
      </c>
      <c r="D133" s="4">
        <v>494</v>
      </c>
      <c r="E133" s="4">
        <v>-1</v>
      </c>
      <c r="F133" s="4"/>
      <c r="G133" s="4"/>
      <c r="H133" s="4"/>
      <c r="I133" s="4"/>
      <c r="J133" s="4"/>
      <c r="K133" s="5"/>
      <c r="L133" s="4" t="s">
        <v>113</v>
      </c>
      <c r="M133" s="8"/>
      <c r="N133" s="4"/>
      <c r="O133" s="8"/>
      <c r="P133" s="8"/>
      <c r="Q133" s="5"/>
      <c r="R133" s="5"/>
      <c r="S133" s="5"/>
      <c r="T133" s="5"/>
      <c r="U133" s="5"/>
      <c r="V133" s="4" t="s">
        <v>114</v>
      </c>
      <c r="W133" s="5"/>
      <c r="X133" s="5">
        <v>0</v>
      </c>
      <c r="Y133" s="5">
        <f t="shared" si="18"/>
        <v>0</v>
      </c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>
        <f t="shared" si="19"/>
        <v>0</v>
      </c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>
        <f t="shared" si="20"/>
        <v>0</v>
      </c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>
        <f t="shared" si="21"/>
        <v>0</v>
      </c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>
        <f t="shared" si="22"/>
        <v>0</v>
      </c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>
        <f t="shared" si="23"/>
        <v>0</v>
      </c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7"/>
      <c r="CZ133" s="7"/>
      <c r="DA133" s="7"/>
      <c r="DB133" s="7"/>
      <c r="DC133" s="7"/>
      <c r="DD133" s="7"/>
      <c r="DE133" s="7"/>
      <c r="DF133" s="7"/>
      <c r="DG133" s="7"/>
      <c r="DH133" s="7"/>
      <c r="DI133" s="7"/>
      <c r="DJ133" s="7"/>
      <c r="DK133" s="7"/>
      <c r="DL133" s="7"/>
      <c r="DM133" s="7"/>
      <c r="DN133" s="7"/>
      <c r="DO133" s="7"/>
      <c r="DP133" s="7"/>
      <c r="DQ133" s="7"/>
      <c r="DR133" s="7"/>
      <c r="DS133" s="7"/>
      <c r="DT133" s="7"/>
      <c r="DU133" s="7"/>
      <c r="DV133" s="7"/>
      <c r="DW133" s="7"/>
      <c r="DX133" s="7"/>
      <c r="DY133" s="7"/>
      <c r="DZ133" s="7"/>
    </row>
    <row r="134" spans="1:130">
      <c r="A134" s="4">
        <v>990</v>
      </c>
      <c r="B134" s="4">
        <v>3490</v>
      </c>
      <c r="C134" s="4">
        <v>2493</v>
      </c>
      <c r="D134" s="4">
        <v>494</v>
      </c>
      <c r="E134" s="4">
        <v>927118</v>
      </c>
      <c r="F134" s="4"/>
      <c r="G134" s="4"/>
      <c r="H134" s="4"/>
      <c r="I134" s="4"/>
      <c r="J134" s="4"/>
      <c r="K134" s="5"/>
      <c r="L134" s="4" t="s">
        <v>113</v>
      </c>
      <c r="M134" s="8"/>
      <c r="N134" s="4" t="s">
        <v>234</v>
      </c>
      <c r="O134" s="8" t="s">
        <v>235</v>
      </c>
      <c r="P134" s="8" t="s">
        <v>236</v>
      </c>
      <c r="Q134" s="5"/>
      <c r="R134" s="5">
        <v>5130</v>
      </c>
      <c r="S134" s="5"/>
      <c r="T134" s="5"/>
      <c r="U134" s="5"/>
      <c r="V134" s="4" t="s">
        <v>120</v>
      </c>
      <c r="W134" s="5"/>
      <c r="X134" s="5"/>
      <c r="Y134" s="5">
        <f t="shared" si="18"/>
        <v>0</v>
      </c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>
        <f t="shared" si="19"/>
        <v>5130</v>
      </c>
      <c r="AM134" s="5">
        <v>5130</v>
      </c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>
        <f t="shared" si="20"/>
        <v>0</v>
      </c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>
        <f t="shared" si="21"/>
        <v>0</v>
      </c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>
        <f t="shared" si="22"/>
        <v>0</v>
      </c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>
        <f t="shared" si="23"/>
        <v>0</v>
      </c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7"/>
      <c r="CZ134" s="7"/>
      <c r="DA134" s="7"/>
      <c r="DB134" s="7"/>
      <c r="DC134" s="7"/>
      <c r="DD134" s="7"/>
      <c r="DE134" s="7"/>
      <c r="DF134" s="7"/>
      <c r="DG134" s="7"/>
      <c r="DH134" s="7"/>
      <c r="DI134" s="7"/>
      <c r="DJ134" s="7"/>
      <c r="DK134" s="7"/>
      <c r="DL134" s="7"/>
      <c r="DM134" s="7"/>
      <c r="DN134" s="7"/>
      <c r="DO134" s="7"/>
      <c r="DP134" s="7"/>
      <c r="DQ134" s="7"/>
      <c r="DR134" s="7"/>
      <c r="DS134" s="7"/>
      <c r="DT134" s="7"/>
      <c r="DU134" s="7"/>
      <c r="DV134" s="7"/>
      <c r="DW134" s="7"/>
      <c r="DX134" s="7"/>
      <c r="DY134" s="7"/>
      <c r="DZ134" s="7"/>
    </row>
    <row r="135" spans="1:130">
      <c r="A135" s="4">
        <v>990</v>
      </c>
      <c r="B135" s="4">
        <v>3490</v>
      </c>
      <c r="C135" s="4">
        <v>2493</v>
      </c>
      <c r="D135" s="4">
        <v>494</v>
      </c>
      <c r="E135" s="4">
        <v>927118</v>
      </c>
      <c r="F135" s="4"/>
      <c r="G135" s="4"/>
      <c r="H135" s="4"/>
      <c r="I135" s="4"/>
      <c r="J135" s="4"/>
      <c r="K135" s="5"/>
      <c r="L135" s="4" t="s">
        <v>113</v>
      </c>
      <c r="M135" s="8"/>
      <c r="N135" s="4" t="s">
        <v>234</v>
      </c>
      <c r="O135" s="8" t="s">
        <v>235</v>
      </c>
      <c r="P135" s="8" t="s">
        <v>236</v>
      </c>
      <c r="Q135" s="5"/>
      <c r="R135" s="5">
        <v>0</v>
      </c>
      <c r="S135" s="5"/>
      <c r="T135" s="5"/>
      <c r="U135" s="5"/>
      <c r="V135" s="4" t="s">
        <v>121</v>
      </c>
      <c r="W135" s="5">
        <v>5130</v>
      </c>
      <c r="X135" s="5"/>
      <c r="Y135" s="5">
        <f t="shared" si="18"/>
        <v>0</v>
      </c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>
        <f t="shared" si="19"/>
        <v>5130</v>
      </c>
      <c r="AM135" s="5">
        <v>5130</v>
      </c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>
        <f t="shared" si="20"/>
        <v>0</v>
      </c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>
        <f t="shared" si="21"/>
        <v>0</v>
      </c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>
        <f t="shared" si="22"/>
        <v>0</v>
      </c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>
        <f t="shared" si="23"/>
        <v>0</v>
      </c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7"/>
      <c r="CZ135" s="7"/>
      <c r="DA135" s="7"/>
      <c r="DB135" s="7"/>
      <c r="DC135" s="7"/>
      <c r="DD135" s="7"/>
      <c r="DE135" s="7"/>
      <c r="DF135" s="7"/>
      <c r="DG135" s="7"/>
      <c r="DH135" s="7"/>
      <c r="DI135" s="7"/>
      <c r="DJ135" s="7"/>
      <c r="DK135" s="7"/>
      <c r="DL135" s="7"/>
      <c r="DM135" s="7"/>
      <c r="DN135" s="7"/>
      <c r="DO135" s="7"/>
      <c r="DP135" s="7"/>
      <c r="DQ135" s="7"/>
      <c r="DR135" s="7"/>
      <c r="DS135" s="7"/>
      <c r="DT135" s="7"/>
      <c r="DU135" s="7"/>
      <c r="DV135" s="7"/>
      <c r="DW135" s="7"/>
      <c r="DX135" s="7"/>
      <c r="DY135" s="7"/>
      <c r="DZ135" s="7"/>
    </row>
    <row r="136" spans="1:130">
      <c r="A136" s="4">
        <v>1020</v>
      </c>
      <c r="B136" s="4">
        <v>3490</v>
      </c>
      <c r="C136" s="4">
        <v>2493</v>
      </c>
      <c r="D136" s="4">
        <v>572</v>
      </c>
      <c r="E136" s="4"/>
      <c r="F136" s="4"/>
      <c r="G136" s="4"/>
      <c r="H136" s="4"/>
      <c r="I136" s="4"/>
      <c r="J136" s="4"/>
      <c r="K136" s="5"/>
      <c r="L136" s="4" t="s">
        <v>237</v>
      </c>
      <c r="M136" s="8" t="s">
        <v>238</v>
      </c>
      <c r="N136" s="4"/>
      <c r="O136" s="8"/>
      <c r="P136" s="8"/>
      <c r="Q136" s="5">
        <v>0</v>
      </c>
      <c r="R136" s="5">
        <v>1315</v>
      </c>
      <c r="S136" s="5">
        <v>26525</v>
      </c>
      <c r="T136" s="5">
        <f>SUM(R136:S136)</f>
        <v>27840</v>
      </c>
      <c r="U136" s="5">
        <f>(T136-Q136)</f>
        <v>27840</v>
      </c>
      <c r="V136" s="4" t="s">
        <v>112</v>
      </c>
      <c r="W136" s="5">
        <v>1315</v>
      </c>
      <c r="X136" s="5">
        <v>57835</v>
      </c>
      <c r="Y136" s="5">
        <f t="shared" si="18"/>
        <v>0</v>
      </c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>
        <f t="shared" si="19"/>
        <v>0</v>
      </c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>
        <f t="shared" si="20"/>
        <v>0</v>
      </c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>
        <f t="shared" si="21"/>
        <v>0</v>
      </c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>
        <f t="shared" si="22"/>
        <v>0</v>
      </c>
      <c r="BZ136" s="5">
        <f>BY137-X137</f>
        <v>0</v>
      </c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>
        <f t="shared" si="23"/>
        <v>0</v>
      </c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7"/>
      <c r="CZ136" s="7"/>
      <c r="DA136" s="7"/>
      <c r="DB136" s="7"/>
      <c r="DC136" s="7"/>
      <c r="DD136" s="7"/>
      <c r="DE136" s="7"/>
      <c r="DF136" s="7"/>
      <c r="DG136" s="7"/>
      <c r="DH136" s="7"/>
      <c r="DI136" s="7"/>
      <c r="DJ136" s="7"/>
      <c r="DK136" s="7"/>
      <c r="DL136" s="7"/>
      <c r="DM136" s="7"/>
      <c r="DN136" s="7"/>
      <c r="DO136" s="7"/>
      <c r="DP136" s="7"/>
      <c r="DQ136" s="7"/>
      <c r="DR136" s="7"/>
      <c r="DS136" s="7"/>
      <c r="DT136" s="7"/>
      <c r="DU136" s="7"/>
      <c r="DV136" s="7"/>
      <c r="DW136" s="7"/>
      <c r="DX136" s="7"/>
      <c r="DY136" s="7"/>
      <c r="DZ136" s="7"/>
    </row>
    <row r="137" spans="1:130">
      <c r="A137" s="4">
        <v>1020</v>
      </c>
      <c r="B137" s="4">
        <v>3490</v>
      </c>
      <c r="C137" s="4">
        <v>2493</v>
      </c>
      <c r="D137" s="4">
        <v>572</v>
      </c>
      <c r="E137" s="4">
        <v>-1</v>
      </c>
      <c r="F137" s="4"/>
      <c r="G137" s="4"/>
      <c r="H137" s="4"/>
      <c r="I137" s="4"/>
      <c r="J137" s="4"/>
      <c r="K137" s="5"/>
      <c r="L137" s="4" t="s">
        <v>113</v>
      </c>
      <c r="M137" s="8"/>
      <c r="N137" s="4"/>
      <c r="O137" s="8"/>
      <c r="P137" s="8"/>
      <c r="Q137" s="5"/>
      <c r="R137" s="5"/>
      <c r="S137" s="5"/>
      <c r="T137" s="5"/>
      <c r="U137" s="5"/>
      <c r="V137" s="4" t="s">
        <v>114</v>
      </c>
      <c r="W137" s="5"/>
      <c r="X137" s="5">
        <v>26525</v>
      </c>
      <c r="Y137" s="5">
        <f t="shared" ref="Y137:Y168" si="24">SUM(Z137:AK137)</f>
        <v>0</v>
      </c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>
        <f t="shared" ref="AL137:AL168" si="25">SUM(AM137:AX137)</f>
        <v>0</v>
      </c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>
        <f t="shared" ref="AY137:AY168" si="26">SUM(AZ137:BK137)</f>
        <v>0</v>
      </c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>
        <f t="shared" ref="BL137:BL168" si="27">SUM(BM137:BX137)</f>
        <v>0</v>
      </c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>
        <f t="shared" ref="BY137:BY168" si="28">SUM(BZ137:CK137)</f>
        <v>26525</v>
      </c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>
        <v>26525</v>
      </c>
      <c r="CL137" s="5">
        <f t="shared" ref="CL137:CL168" si="29">SUM(CM137:CX137)</f>
        <v>0</v>
      </c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7"/>
      <c r="CZ137" s="7"/>
      <c r="DA137" s="7"/>
      <c r="DB137" s="7"/>
      <c r="DC137" s="7"/>
      <c r="DD137" s="7"/>
      <c r="DE137" s="7"/>
      <c r="DF137" s="7"/>
      <c r="DG137" s="7"/>
      <c r="DH137" s="7"/>
      <c r="DI137" s="7"/>
      <c r="DJ137" s="7"/>
      <c r="DK137" s="7"/>
      <c r="DL137" s="7"/>
      <c r="DM137" s="7"/>
      <c r="DN137" s="7"/>
      <c r="DO137" s="7"/>
      <c r="DP137" s="7"/>
      <c r="DQ137" s="7"/>
      <c r="DR137" s="7"/>
      <c r="DS137" s="7"/>
      <c r="DT137" s="7"/>
      <c r="DU137" s="7"/>
      <c r="DV137" s="7"/>
      <c r="DW137" s="7"/>
      <c r="DX137" s="7"/>
      <c r="DY137" s="7"/>
      <c r="DZ137" s="7"/>
    </row>
    <row r="138" spans="1:130">
      <c r="A138" s="4">
        <v>1020</v>
      </c>
      <c r="B138" s="4">
        <v>3490</v>
      </c>
      <c r="C138" s="4">
        <v>2493</v>
      </c>
      <c r="D138" s="4">
        <v>572</v>
      </c>
      <c r="E138" s="4">
        <v>967584</v>
      </c>
      <c r="F138" s="4"/>
      <c r="G138" s="4"/>
      <c r="H138" s="4"/>
      <c r="I138" s="4"/>
      <c r="J138" s="4"/>
      <c r="K138" s="5"/>
      <c r="L138" s="4" t="s">
        <v>113</v>
      </c>
      <c r="M138" s="8"/>
      <c r="N138" s="4" t="s">
        <v>239</v>
      </c>
      <c r="O138" s="8" t="s">
        <v>240</v>
      </c>
      <c r="P138" s="8" t="s">
        <v>241</v>
      </c>
      <c r="Q138" s="5"/>
      <c r="R138" s="5">
        <v>1315</v>
      </c>
      <c r="S138" s="5"/>
      <c r="T138" s="5"/>
      <c r="U138" s="5"/>
      <c r="V138" s="4" t="s">
        <v>120</v>
      </c>
      <c r="W138" s="5"/>
      <c r="X138" s="5"/>
      <c r="Y138" s="5">
        <f t="shared" si="24"/>
        <v>0</v>
      </c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>
        <f t="shared" si="25"/>
        <v>0</v>
      </c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>
        <f t="shared" si="26"/>
        <v>1315</v>
      </c>
      <c r="AZ138" s="5"/>
      <c r="BA138" s="5"/>
      <c r="BB138" s="5"/>
      <c r="BC138" s="5"/>
      <c r="BD138" s="5"/>
      <c r="BE138" s="5"/>
      <c r="BF138" s="5"/>
      <c r="BG138" s="5">
        <v>252.55</v>
      </c>
      <c r="BH138" s="5">
        <v>261.26</v>
      </c>
      <c r="BI138" s="5">
        <v>269.97000000000003</v>
      </c>
      <c r="BJ138" s="5">
        <v>261.26</v>
      </c>
      <c r="BK138" s="5">
        <v>269.95999999999998</v>
      </c>
      <c r="BL138" s="5">
        <f t="shared" si="27"/>
        <v>0</v>
      </c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>
        <f t="shared" si="28"/>
        <v>0</v>
      </c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>
        <f t="shared" si="29"/>
        <v>0</v>
      </c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7"/>
      <c r="CZ138" s="7"/>
      <c r="DA138" s="7"/>
      <c r="DB138" s="7"/>
      <c r="DC138" s="7"/>
      <c r="DD138" s="7"/>
      <c r="DE138" s="7"/>
      <c r="DF138" s="7"/>
      <c r="DG138" s="7"/>
      <c r="DH138" s="7"/>
      <c r="DI138" s="7"/>
      <c r="DJ138" s="7"/>
      <c r="DK138" s="7"/>
      <c r="DL138" s="7"/>
      <c r="DM138" s="7"/>
      <c r="DN138" s="7"/>
      <c r="DO138" s="7"/>
      <c r="DP138" s="7"/>
      <c r="DQ138" s="7"/>
      <c r="DR138" s="7"/>
      <c r="DS138" s="7"/>
      <c r="DT138" s="7"/>
      <c r="DU138" s="7"/>
      <c r="DV138" s="7"/>
      <c r="DW138" s="7"/>
      <c r="DX138" s="7"/>
      <c r="DY138" s="7"/>
      <c r="DZ138" s="7"/>
    </row>
    <row r="139" spans="1:130">
      <c r="A139" s="4">
        <v>1020</v>
      </c>
      <c r="B139" s="4">
        <v>3490</v>
      </c>
      <c r="C139" s="4">
        <v>2493</v>
      </c>
      <c r="D139" s="4">
        <v>572</v>
      </c>
      <c r="E139" s="4">
        <v>967584</v>
      </c>
      <c r="F139" s="4"/>
      <c r="G139" s="4"/>
      <c r="H139" s="4"/>
      <c r="I139" s="4"/>
      <c r="J139" s="4"/>
      <c r="K139" s="5"/>
      <c r="L139" s="4" t="s">
        <v>113</v>
      </c>
      <c r="M139" s="8"/>
      <c r="N139" s="4" t="s">
        <v>239</v>
      </c>
      <c r="O139" s="8" t="s">
        <v>240</v>
      </c>
      <c r="P139" s="8" t="s">
        <v>241</v>
      </c>
      <c r="Q139" s="5"/>
      <c r="R139" s="5">
        <v>0</v>
      </c>
      <c r="S139" s="5"/>
      <c r="T139" s="5"/>
      <c r="U139" s="5"/>
      <c r="V139" s="4" t="s">
        <v>121</v>
      </c>
      <c r="W139" s="5">
        <v>1315</v>
      </c>
      <c r="X139" s="5"/>
      <c r="Y139" s="5">
        <f t="shared" si="24"/>
        <v>0</v>
      </c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>
        <f t="shared" si="25"/>
        <v>0</v>
      </c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>
        <f t="shared" si="26"/>
        <v>1315</v>
      </c>
      <c r="AZ139" s="5"/>
      <c r="BA139" s="5"/>
      <c r="BB139" s="5"/>
      <c r="BC139" s="5"/>
      <c r="BD139" s="5"/>
      <c r="BE139" s="5"/>
      <c r="BF139" s="5"/>
      <c r="BG139" s="5"/>
      <c r="BH139" s="5"/>
      <c r="BI139" s="5">
        <v>1315</v>
      </c>
      <c r="BJ139" s="5"/>
      <c r="BK139" s="5"/>
      <c r="BL139" s="5">
        <f t="shared" si="27"/>
        <v>0</v>
      </c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>
        <f t="shared" si="28"/>
        <v>0</v>
      </c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>
        <f t="shared" si="29"/>
        <v>0</v>
      </c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7"/>
      <c r="CZ139" s="7"/>
      <c r="DA139" s="7"/>
      <c r="DB139" s="7"/>
      <c r="DC139" s="7"/>
      <c r="DD139" s="7"/>
      <c r="DE139" s="7"/>
      <c r="DF139" s="7"/>
      <c r="DG139" s="7"/>
      <c r="DH139" s="7"/>
      <c r="DI139" s="7"/>
      <c r="DJ139" s="7"/>
      <c r="DK139" s="7"/>
      <c r="DL139" s="7"/>
      <c r="DM139" s="7"/>
      <c r="DN139" s="7"/>
      <c r="DO139" s="7"/>
      <c r="DP139" s="7"/>
      <c r="DQ139" s="7"/>
      <c r="DR139" s="7"/>
      <c r="DS139" s="7"/>
      <c r="DT139" s="7"/>
      <c r="DU139" s="7"/>
      <c r="DV139" s="7"/>
      <c r="DW139" s="7"/>
      <c r="DX139" s="7"/>
      <c r="DY139" s="7"/>
      <c r="DZ139" s="7"/>
    </row>
    <row r="140" spans="1:130">
      <c r="A140" s="4">
        <v>1030</v>
      </c>
      <c r="B140" s="4">
        <v>3490</v>
      </c>
      <c r="C140" s="4">
        <v>2493</v>
      </c>
      <c r="D140" s="4">
        <v>573</v>
      </c>
      <c r="E140" s="4"/>
      <c r="F140" s="4"/>
      <c r="G140" s="4"/>
      <c r="H140" s="4"/>
      <c r="I140" s="4"/>
      <c r="J140" s="4"/>
      <c r="K140" s="5"/>
      <c r="L140" s="4" t="s">
        <v>242</v>
      </c>
      <c r="M140" s="8" t="s">
        <v>243</v>
      </c>
      <c r="N140" s="4"/>
      <c r="O140" s="8"/>
      <c r="P140" s="8"/>
      <c r="Q140" s="5">
        <v>15000</v>
      </c>
      <c r="R140" s="5">
        <v>10808.94</v>
      </c>
      <c r="S140" s="5">
        <v>0</v>
      </c>
      <c r="T140" s="5">
        <f>SUM(R140:S140)</f>
        <v>10808.94</v>
      </c>
      <c r="U140" s="5">
        <f>(T140-Q140)</f>
        <v>-4191.0599999999995</v>
      </c>
      <c r="V140" s="4" t="s">
        <v>112</v>
      </c>
      <c r="W140" s="5">
        <v>10808.94</v>
      </c>
      <c r="X140" s="5">
        <v>0</v>
      </c>
      <c r="Y140" s="5">
        <f t="shared" si="24"/>
        <v>0</v>
      </c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>
        <f t="shared" si="25"/>
        <v>0</v>
      </c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>
        <f t="shared" si="26"/>
        <v>15000</v>
      </c>
      <c r="AZ140" s="5">
        <v>15000</v>
      </c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>
        <f t="shared" si="27"/>
        <v>0</v>
      </c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>
        <f t="shared" si="28"/>
        <v>0</v>
      </c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>
        <f t="shared" si="29"/>
        <v>0</v>
      </c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7"/>
      <c r="CZ140" s="7"/>
      <c r="DA140" s="7"/>
      <c r="DB140" s="7"/>
      <c r="DC140" s="7"/>
      <c r="DD140" s="7"/>
      <c r="DE140" s="7"/>
      <c r="DF140" s="7"/>
      <c r="DG140" s="7"/>
      <c r="DH140" s="7"/>
      <c r="DI140" s="7"/>
      <c r="DJ140" s="7"/>
      <c r="DK140" s="7"/>
      <c r="DL140" s="7"/>
      <c r="DM140" s="7"/>
      <c r="DN140" s="7"/>
      <c r="DO140" s="7"/>
      <c r="DP140" s="7"/>
      <c r="DQ140" s="7"/>
      <c r="DR140" s="7"/>
      <c r="DS140" s="7"/>
      <c r="DT140" s="7"/>
      <c r="DU140" s="7"/>
      <c r="DV140" s="7"/>
      <c r="DW140" s="7"/>
      <c r="DX140" s="7"/>
      <c r="DY140" s="7"/>
      <c r="DZ140" s="7"/>
    </row>
    <row r="141" spans="1:130">
      <c r="A141" s="4">
        <v>1030</v>
      </c>
      <c r="B141" s="4">
        <v>3490</v>
      </c>
      <c r="C141" s="4">
        <v>2493</v>
      </c>
      <c r="D141" s="4">
        <v>573</v>
      </c>
      <c r="E141" s="4">
        <v>-1</v>
      </c>
      <c r="F141" s="4"/>
      <c r="G141" s="4"/>
      <c r="H141" s="4"/>
      <c r="I141" s="4"/>
      <c r="J141" s="4"/>
      <c r="K141" s="5"/>
      <c r="L141" s="4" t="s">
        <v>113</v>
      </c>
      <c r="M141" s="8"/>
      <c r="N141" s="4"/>
      <c r="O141" s="8"/>
      <c r="P141" s="8"/>
      <c r="Q141" s="5"/>
      <c r="R141" s="5"/>
      <c r="S141" s="5"/>
      <c r="T141" s="5"/>
      <c r="U141" s="5"/>
      <c r="V141" s="4" t="s">
        <v>114</v>
      </c>
      <c r="W141" s="5"/>
      <c r="X141" s="5">
        <v>0</v>
      </c>
      <c r="Y141" s="5">
        <f t="shared" si="24"/>
        <v>0</v>
      </c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>
        <f t="shared" si="25"/>
        <v>0</v>
      </c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>
        <f t="shared" si="26"/>
        <v>0</v>
      </c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>
        <f t="shared" si="27"/>
        <v>0</v>
      </c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>
        <f t="shared" si="28"/>
        <v>0</v>
      </c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>
        <f t="shared" si="29"/>
        <v>0</v>
      </c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7"/>
      <c r="CZ141" s="7"/>
      <c r="DA141" s="7"/>
      <c r="DB141" s="7"/>
      <c r="DC141" s="7"/>
      <c r="DD141" s="7"/>
      <c r="DE141" s="7"/>
      <c r="DF141" s="7"/>
      <c r="DG141" s="7"/>
      <c r="DH141" s="7"/>
      <c r="DI141" s="7"/>
      <c r="DJ141" s="7"/>
      <c r="DK141" s="7"/>
      <c r="DL141" s="7"/>
      <c r="DM141" s="7"/>
      <c r="DN141" s="7"/>
      <c r="DO141" s="7"/>
      <c r="DP141" s="7"/>
      <c r="DQ141" s="7"/>
      <c r="DR141" s="7"/>
      <c r="DS141" s="7"/>
      <c r="DT141" s="7"/>
      <c r="DU141" s="7"/>
      <c r="DV141" s="7"/>
      <c r="DW141" s="7"/>
      <c r="DX141" s="7"/>
      <c r="DY141" s="7"/>
      <c r="DZ141" s="7"/>
    </row>
    <row r="142" spans="1:130">
      <c r="A142" s="4">
        <v>1030</v>
      </c>
      <c r="B142" s="4">
        <v>3490</v>
      </c>
      <c r="C142" s="4">
        <v>2493</v>
      </c>
      <c r="D142" s="4">
        <v>573</v>
      </c>
      <c r="E142" s="4">
        <v>965934</v>
      </c>
      <c r="F142" s="4"/>
      <c r="G142" s="4"/>
      <c r="H142" s="4"/>
      <c r="I142" s="4"/>
      <c r="J142" s="4"/>
      <c r="K142" s="5"/>
      <c r="L142" s="4" t="s">
        <v>113</v>
      </c>
      <c r="M142" s="8"/>
      <c r="N142" s="4" t="s">
        <v>244</v>
      </c>
      <c r="O142" s="8" t="s">
        <v>245</v>
      </c>
      <c r="P142" s="8" t="s">
        <v>246</v>
      </c>
      <c r="Q142" s="5"/>
      <c r="R142" s="5">
        <v>10808.94</v>
      </c>
      <c r="S142" s="5"/>
      <c r="T142" s="5"/>
      <c r="U142" s="5"/>
      <c r="V142" s="4" t="s">
        <v>120</v>
      </c>
      <c r="W142" s="5"/>
      <c r="X142" s="5"/>
      <c r="Y142" s="5">
        <f t="shared" si="24"/>
        <v>10808.94</v>
      </c>
      <c r="Z142" s="5">
        <v>915.51</v>
      </c>
      <c r="AA142" s="5">
        <v>856.45</v>
      </c>
      <c r="AB142" s="5">
        <v>915.51</v>
      </c>
      <c r="AC142" s="5">
        <v>885.98</v>
      </c>
      <c r="AD142" s="5">
        <v>915.51</v>
      </c>
      <c r="AE142" s="5">
        <v>885.98</v>
      </c>
      <c r="AF142" s="5">
        <v>915.51</v>
      </c>
      <c r="AG142" s="5">
        <v>915.51</v>
      </c>
      <c r="AH142" s="5">
        <v>885.98</v>
      </c>
      <c r="AI142" s="5">
        <v>915.51</v>
      </c>
      <c r="AJ142" s="5">
        <v>885.98</v>
      </c>
      <c r="AK142" s="5">
        <v>915.51</v>
      </c>
      <c r="AL142" s="5">
        <f t="shared" si="25"/>
        <v>0</v>
      </c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>
        <f t="shared" si="26"/>
        <v>0</v>
      </c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>
        <f t="shared" si="27"/>
        <v>0</v>
      </c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>
        <f t="shared" si="28"/>
        <v>0</v>
      </c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>
        <f t="shared" si="29"/>
        <v>0</v>
      </c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7"/>
      <c r="CZ142" s="7"/>
      <c r="DA142" s="7"/>
      <c r="DB142" s="7"/>
      <c r="DC142" s="7"/>
      <c r="DD142" s="7"/>
      <c r="DE142" s="7"/>
      <c r="DF142" s="7"/>
      <c r="DG142" s="7"/>
      <c r="DH142" s="7"/>
      <c r="DI142" s="7"/>
      <c r="DJ142" s="7"/>
      <c r="DK142" s="7"/>
      <c r="DL142" s="7"/>
      <c r="DM142" s="7"/>
      <c r="DN142" s="7"/>
      <c r="DO142" s="7"/>
      <c r="DP142" s="7"/>
      <c r="DQ142" s="7"/>
      <c r="DR142" s="7"/>
      <c r="DS142" s="7"/>
      <c r="DT142" s="7"/>
      <c r="DU142" s="7"/>
      <c r="DV142" s="7"/>
      <c r="DW142" s="7"/>
      <c r="DX142" s="7"/>
      <c r="DY142" s="7"/>
      <c r="DZ142" s="7"/>
    </row>
    <row r="143" spans="1:130">
      <c r="A143" s="4">
        <v>1030</v>
      </c>
      <c r="B143" s="4">
        <v>3490</v>
      </c>
      <c r="C143" s="4">
        <v>2493</v>
      </c>
      <c r="D143" s="4">
        <v>573</v>
      </c>
      <c r="E143" s="4">
        <v>965934</v>
      </c>
      <c r="F143" s="4"/>
      <c r="G143" s="4"/>
      <c r="H143" s="4"/>
      <c r="I143" s="4"/>
      <c r="J143" s="4"/>
      <c r="K143" s="5"/>
      <c r="L143" s="4" t="s">
        <v>113</v>
      </c>
      <c r="M143" s="8"/>
      <c r="N143" s="4" t="s">
        <v>244</v>
      </c>
      <c r="O143" s="8" t="s">
        <v>245</v>
      </c>
      <c r="P143" s="8" t="s">
        <v>246</v>
      </c>
      <c r="Q143" s="5"/>
      <c r="R143" s="5">
        <v>0</v>
      </c>
      <c r="S143" s="5"/>
      <c r="T143" s="5"/>
      <c r="U143" s="5"/>
      <c r="V143" s="4" t="s">
        <v>121</v>
      </c>
      <c r="W143" s="5">
        <v>10808.94</v>
      </c>
      <c r="X143" s="5"/>
      <c r="Y143" s="5">
        <f t="shared" si="24"/>
        <v>4049.4</v>
      </c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>
        <v>4049.4</v>
      </c>
      <c r="AL143" s="5">
        <f t="shared" si="25"/>
        <v>6759.54</v>
      </c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>
        <v>6759.54</v>
      </c>
      <c r="AX143" s="5"/>
      <c r="AY143" s="5">
        <f t="shared" si="26"/>
        <v>0</v>
      </c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>
        <f t="shared" si="27"/>
        <v>0</v>
      </c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>
        <f t="shared" si="28"/>
        <v>0</v>
      </c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>
        <f t="shared" si="29"/>
        <v>0</v>
      </c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7"/>
      <c r="CZ143" s="7"/>
      <c r="DA143" s="7"/>
      <c r="DB143" s="7"/>
      <c r="DC143" s="7"/>
      <c r="DD143" s="7"/>
      <c r="DE143" s="7"/>
      <c r="DF143" s="7"/>
      <c r="DG143" s="7"/>
      <c r="DH143" s="7"/>
      <c r="DI143" s="7"/>
      <c r="DJ143" s="7"/>
      <c r="DK143" s="7"/>
      <c r="DL143" s="7"/>
      <c r="DM143" s="7"/>
      <c r="DN143" s="7"/>
      <c r="DO143" s="7"/>
      <c r="DP143" s="7"/>
      <c r="DQ143" s="7"/>
      <c r="DR143" s="7"/>
      <c r="DS143" s="7"/>
      <c r="DT143" s="7"/>
      <c r="DU143" s="7"/>
      <c r="DV143" s="7"/>
      <c r="DW143" s="7"/>
      <c r="DX143" s="7"/>
      <c r="DY143" s="7"/>
      <c r="DZ143" s="7"/>
    </row>
    <row r="144" spans="1:130">
      <c r="A144" s="4">
        <v>1040</v>
      </c>
      <c r="B144" s="4">
        <v>3490</v>
      </c>
      <c r="C144" s="4">
        <v>2493</v>
      </c>
      <c r="D144" s="4">
        <v>574</v>
      </c>
      <c r="E144" s="4"/>
      <c r="F144" s="4"/>
      <c r="G144" s="4"/>
      <c r="H144" s="4"/>
      <c r="I144" s="4"/>
      <c r="J144" s="4"/>
      <c r="K144" s="5"/>
      <c r="L144" s="4" t="s">
        <v>247</v>
      </c>
      <c r="M144" s="8" t="s">
        <v>248</v>
      </c>
      <c r="N144" s="4"/>
      <c r="O144" s="8"/>
      <c r="P144" s="8"/>
      <c r="Q144" s="5">
        <v>5000</v>
      </c>
      <c r="R144" s="5">
        <v>0</v>
      </c>
      <c r="S144" s="5">
        <v>5000</v>
      </c>
      <c r="T144" s="5">
        <f>SUM(R144:S144)</f>
        <v>5000</v>
      </c>
      <c r="U144" s="5">
        <f>(T144-Q144)</f>
        <v>0</v>
      </c>
      <c r="V144" s="4" t="s">
        <v>112</v>
      </c>
      <c r="W144" s="5">
        <v>0</v>
      </c>
      <c r="X144" s="5">
        <v>5000</v>
      </c>
      <c r="Y144" s="5">
        <f t="shared" si="24"/>
        <v>0</v>
      </c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>
        <f t="shared" si="25"/>
        <v>0</v>
      </c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>
        <f t="shared" si="26"/>
        <v>5000</v>
      </c>
      <c r="AZ144" s="5">
        <v>5000</v>
      </c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>
        <f t="shared" si="27"/>
        <v>0</v>
      </c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>
        <f t="shared" si="28"/>
        <v>0</v>
      </c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>
        <f t="shared" si="29"/>
        <v>0</v>
      </c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7"/>
      <c r="CZ144" s="7"/>
      <c r="DA144" s="7"/>
      <c r="DB144" s="7"/>
      <c r="DC144" s="7"/>
      <c r="DD144" s="7"/>
      <c r="DE144" s="7"/>
      <c r="DF144" s="7"/>
      <c r="DG144" s="7"/>
      <c r="DH144" s="7"/>
      <c r="DI144" s="7"/>
      <c r="DJ144" s="7"/>
      <c r="DK144" s="7"/>
      <c r="DL144" s="7"/>
      <c r="DM144" s="7"/>
      <c r="DN144" s="7"/>
      <c r="DO144" s="7"/>
      <c r="DP144" s="7"/>
      <c r="DQ144" s="7"/>
      <c r="DR144" s="7"/>
      <c r="DS144" s="7"/>
      <c r="DT144" s="7"/>
      <c r="DU144" s="7"/>
      <c r="DV144" s="7"/>
      <c r="DW144" s="7"/>
      <c r="DX144" s="7"/>
      <c r="DY144" s="7"/>
      <c r="DZ144" s="7"/>
    </row>
    <row r="145" spans="1:130">
      <c r="A145" s="4">
        <v>1040</v>
      </c>
      <c r="B145" s="4">
        <v>3490</v>
      </c>
      <c r="C145" s="4">
        <v>2493</v>
      </c>
      <c r="D145" s="4">
        <v>574</v>
      </c>
      <c r="E145" s="4">
        <v>-1</v>
      </c>
      <c r="F145" s="4"/>
      <c r="G145" s="4"/>
      <c r="H145" s="4"/>
      <c r="I145" s="4"/>
      <c r="J145" s="4"/>
      <c r="K145" s="5"/>
      <c r="L145" s="4" t="s">
        <v>113</v>
      </c>
      <c r="M145" s="8"/>
      <c r="N145" s="4"/>
      <c r="O145" s="8"/>
      <c r="P145" s="8"/>
      <c r="Q145" s="5"/>
      <c r="R145" s="5"/>
      <c r="S145" s="5"/>
      <c r="T145" s="5"/>
      <c r="U145" s="5"/>
      <c r="V145" s="4" t="s">
        <v>114</v>
      </c>
      <c r="W145" s="5"/>
      <c r="X145" s="5">
        <v>5000</v>
      </c>
      <c r="Y145" s="5">
        <f t="shared" si="24"/>
        <v>0</v>
      </c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>
        <f t="shared" si="25"/>
        <v>0</v>
      </c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>
        <f t="shared" si="26"/>
        <v>0</v>
      </c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>
        <f t="shared" si="27"/>
        <v>5000</v>
      </c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>
        <v>5000</v>
      </c>
      <c r="BY145" s="5">
        <f t="shared" si="28"/>
        <v>0</v>
      </c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>
        <f t="shared" si="29"/>
        <v>0</v>
      </c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7"/>
      <c r="CZ145" s="7"/>
      <c r="DA145" s="7"/>
      <c r="DB145" s="7"/>
      <c r="DC145" s="7"/>
      <c r="DD145" s="7"/>
      <c r="DE145" s="7"/>
      <c r="DF145" s="7"/>
      <c r="DG145" s="7"/>
      <c r="DH145" s="7"/>
      <c r="DI145" s="7"/>
      <c r="DJ145" s="7"/>
      <c r="DK145" s="7"/>
      <c r="DL145" s="7"/>
      <c r="DM145" s="7"/>
      <c r="DN145" s="7"/>
      <c r="DO145" s="7"/>
      <c r="DP145" s="7"/>
      <c r="DQ145" s="7"/>
      <c r="DR145" s="7"/>
      <c r="DS145" s="7"/>
      <c r="DT145" s="7"/>
      <c r="DU145" s="7"/>
      <c r="DV145" s="7"/>
      <c r="DW145" s="7"/>
      <c r="DX145" s="7"/>
      <c r="DY145" s="7"/>
      <c r="DZ145" s="7"/>
    </row>
    <row r="146" spans="1:130">
      <c r="A146" s="4">
        <v>1050</v>
      </c>
      <c r="B146" s="4">
        <v>3490</v>
      </c>
      <c r="C146" s="4">
        <v>2493</v>
      </c>
      <c r="D146" s="4">
        <v>497</v>
      </c>
      <c r="E146" s="4"/>
      <c r="F146" s="4"/>
      <c r="G146" s="4"/>
      <c r="H146" s="4"/>
      <c r="I146" s="4"/>
      <c r="J146" s="4"/>
      <c r="K146" s="5"/>
      <c r="L146" s="4" t="s">
        <v>249</v>
      </c>
      <c r="M146" s="8" t="s">
        <v>250</v>
      </c>
      <c r="N146" s="4"/>
      <c r="O146" s="8"/>
      <c r="P146" s="8"/>
      <c r="Q146" s="5">
        <v>10000</v>
      </c>
      <c r="R146" s="5">
        <v>0</v>
      </c>
      <c r="S146" s="5">
        <v>30000</v>
      </c>
      <c r="T146" s="5">
        <f>SUM(R146:S146)</f>
        <v>30000</v>
      </c>
      <c r="U146" s="5">
        <f>(T146-Q146)</f>
        <v>20000</v>
      </c>
      <c r="V146" s="4" t="s">
        <v>112</v>
      </c>
      <c r="W146" s="5">
        <v>0</v>
      </c>
      <c r="X146" s="5">
        <v>30000</v>
      </c>
      <c r="Y146" s="5">
        <f t="shared" si="24"/>
        <v>0</v>
      </c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>
        <f t="shared" si="25"/>
        <v>0</v>
      </c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>
        <f t="shared" si="26"/>
        <v>10000</v>
      </c>
      <c r="AZ146" s="5">
        <v>10000</v>
      </c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>
        <f t="shared" si="27"/>
        <v>0</v>
      </c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>
        <f t="shared" si="28"/>
        <v>0</v>
      </c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>
        <f t="shared" si="29"/>
        <v>0</v>
      </c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7"/>
      <c r="CZ146" s="7"/>
      <c r="DA146" s="7"/>
      <c r="DB146" s="7"/>
      <c r="DC146" s="7"/>
      <c r="DD146" s="7"/>
      <c r="DE146" s="7"/>
      <c r="DF146" s="7"/>
      <c r="DG146" s="7"/>
      <c r="DH146" s="7"/>
      <c r="DI146" s="7"/>
      <c r="DJ146" s="7"/>
      <c r="DK146" s="7"/>
      <c r="DL146" s="7"/>
      <c r="DM146" s="7"/>
      <c r="DN146" s="7"/>
      <c r="DO146" s="7"/>
      <c r="DP146" s="7"/>
      <c r="DQ146" s="7"/>
      <c r="DR146" s="7"/>
      <c r="DS146" s="7"/>
      <c r="DT146" s="7"/>
      <c r="DU146" s="7"/>
      <c r="DV146" s="7"/>
      <c r="DW146" s="7"/>
      <c r="DX146" s="7"/>
      <c r="DY146" s="7"/>
      <c r="DZ146" s="7"/>
    </row>
    <row r="147" spans="1:130">
      <c r="A147" s="4">
        <v>1050</v>
      </c>
      <c r="B147" s="4">
        <v>3490</v>
      </c>
      <c r="C147" s="4">
        <v>2493</v>
      </c>
      <c r="D147" s="4">
        <v>497</v>
      </c>
      <c r="E147" s="4">
        <v>-1</v>
      </c>
      <c r="F147" s="4"/>
      <c r="G147" s="4"/>
      <c r="H147" s="4"/>
      <c r="I147" s="4"/>
      <c r="J147" s="4"/>
      <c r="K147" s="5"/>
      <c r="L147" s="4" t="s">
        <v>113</v>
      </c>
      <c r="M147" s="8"/>
      <c r="N147" s="4"/>
      <c r="O147" s="8"/>
      <c r="P147" s="8"/>
      <c r="Q147" s="5"/>
      <c r="R147" s="5"/>
      <c r="S147" s="5"/>
      <c r="T147" s="5"/>
      <c r="U147" s="5"/>
      <c r="V147" s="4" t="s">
        <v>114</v>
      </c>
      <c r="W147" s="5"/>
      <c r="X147" s="5">
        <v>30000</v>
      </c>
      <c r="Y147" s="5">
        <f t="shared" si="24"/>
        <v>0</v>
      </c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>
        <f t="shared" si="25"/>
        <v>0</v>
      </c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>
        <f t="shared" si="26"/>
        <v>0</v>
      </c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>
        <f t="shared" si="27"/>
        <v>0</v>
      </c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>
        <f t="shared" si="28"/>
        <v>0</v>
      </c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>
        <f t="shared" si="29"/>
        <v>0</v>
      </c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7"/>
      <c r="CZ147" s="7"/>
      <c r="DA147" s="7"/>
      <c r="DB147" s="7"/>
      <c r="DC147" s="7"/>
      <c r="DD147" s="7"/>
      <c r="DE147" s="7"/>
      <c r="DF147" s="7"/>
      <c r="DG147" s="7"/>
      <c r="DH147" s="7"/>
      <c r="DI147" s="7"/>
      <c r="DJ147" s="7"/>
      <c r="DK147" s="7"/>
      <c r="DL147" s="7"/>
      <c r="DM147" s="7"/>
      <c r="DN147" s="7"/>
      <c r="DO147" s="7"/>
      <c r="DP147" s="7"/>
      <c r="DQ147" s="7"/>
      <c r="DR147" s="7"/>
      <c r="DS147" s="7"/>
      <c r="DT147" s="7"/>
      <c r="DU147" s="7"/>
      <c r="DV147" s="7"/>
      <c r="DW147" s="7"/>
      <c r="DX147" s="7"/>
      <c r="DY147" s="7"/>
      <c r="DZ147" s="7"/>
    </row>
    <row r="148" spans="1:130">
      <c r="A148" s="4">
        <v>1060</v>
      </c>
      <c r="B148" s="4">
        <v>3490</v>
      </c>
      <c r="C148" s="4">
        <v>2493</v>
      </c>
      <c r="D148" s="4">
        <v>498</v>
      </c>
      <c r="E148" s="4"/>
      <c r="F148" s="4"/>
      <c r="G148" s="4"/>
      <c r="H148" s="4"/>
      <c r="I148" s="4"/>
      <c r="J148" s="4"/>
      <c r="K148" s="5"/>
      <c r="L148" s="4" t="s">
        <v>251</v>
      </c>
      <c r="M148" s="8" t="s">
        <v>252</v>
      </c>
      <c r="N148" s="4"/>
      <c r="O148" s="8"/>
      <c r="P148" s="8"/>
      <c r="Q148" s="5">
        <v>10000</v>
      </c>
      <c r="R148" s="5">
        <v>0</v>
      </c>
      <c r="S148" s="5">
        <v>30000</v>
      </c>
      <c r="T148" s="5">
        <f>SUM(R148:S148)</f>
        <v>30000</v>
      </c>
      <c r="U148" s="5">
        <f>(T148-Q148)</f>
        <v>20000</v>
      </c>
      <c r="V148" s="4" t="s">
        <v>112</v>
      </c>
      <c r="W148" s="5">
        <v>0</v>
      </c>
      <c r="X148" s="5">
        <v>30000</v>
      </c>
      <c r="Y148" s="5">
        <f t="shared" si="24"/>
        <v>0</v>
      </c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>
        <f t="shared" si="25"/>
        <v>0</v>
      </c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>
        <f t="shared" si="26"/>
        <v>10000</v>
      </c>
      <c r="AZ148" s="5">
        <v>10000</v>
      </c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>
        <f t="shared" si="27"/>
        <v>0</v>
      </c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>
        <f t="shared" si="28"/>
        <v>0</v>
      </c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>
        <f t="shared" si="29"/>
        <v>0</v>
      </c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7"/>
      <c r="CZ148" s="7"/>
      <c r="DA148" s="7"/>
      <c r="DB148" s="7"/>
      <c r="DC148" s="7"/>
      <c r="DD148" s="7"/>
      <c r="DE148" s="7"/>
      <c r="DF148" s="7"/>
      <c r="DG148" s="7"/>
      <c r="DH148" s="7"/>
      <c r="DI148" s="7"/>
      <c r="DJ148" s="7"/>
      <c r="DK148" s="7"/>
      <c r="DL148" s="7"/>
      <c r="DM148" s="7"/>
      <c r="DN148" s="7"/>
      <c r="DO148" s="7"/>
      <c r="DP148" s="7"/>
      <c r="DQ148" s="7"/>
      <c r="DR148" s="7"/>
      <c r="DS148" s="7"/>
      <c r="DT148" s="7"/>
      <c r="DU148" s="7"/>
      <c r="DV148" s="7"/>
      <c r="DW148" s="7"/>
      <c r="DX148" s="7"/>
      <c r="DY148" s="7"/>
      <c r="DZ148" s="7"/>
    </row>
    <row r="149" spans="1:130">
      <c r="A149" s="4">
        <v>1060</v>
      </c>
      <c r="B149" s="4">
        <v>3490</v>
      </c>
      <c r="C149" s="4">
        <v>2493</v>
      </c>
      <c r="D149" s="4">
        <v>498</v>
      </c>
      <c r="E149" s="4">
        <v>-1</v>
      </c>
      <c r="F149" s="4"/>
      <c r="G149" s="4"/>
      <c r="H149" s="4"/>
      <c r="I149" s="4"/>
      <c r="J149" s="4"/>
      <c r="K149" s="5"/>
      <c r="L149" s="4" t="s">
        <v>113</v>
      </c>
      <c r="M149" s="8"/>
      <c r="N149" s="4"/>
      <c r="O149" s="8"/>
      <c r="P149" s="8"/>
      <c r="Q149" s="5"/>
      <c r="R149" s="5"/>
      <c r="S149" s="5"/>
      <c r="T149" s="5"/>
      <c r="U149" s="5"/>
      <c r="V149" s="4" t="s">
        <v>114</v>
      </c>
      <c r="W149" s="5"/>
      <c r="X149" s="5">
        <v>30000</v>
      </c>
      <c r="Y149" s="5">
        <f t="shared" si="24"/>
        <v>0</v>
      </c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>
        <f t="shared" si="25"/>
        <v>0</v>
      </c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>
        <f t="shared" si="26"/>
        <v>30000</v>
      </c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>
        <v>30000</v>
      </c>
      <c r="BL149" s="5">
        <f t="shared" si="27"/>
        <v>0</v>
      </c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>
        <f t="shared" si="28"/>
        <v>0</v>
      </c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>
        <f t="shared" si="29"/>
        <v>0</v>
      </c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7"/>
      <c r="CZ149" s="7"/>
      <c r="DA149" s="7"/>
      <c r="DB149" s="7"/>
      <c r="DC149" s="7"/>
      <c r="DD149" s="7"/>
      <c r="DE149" s="7"/>
      <c r="DF149" s="7"/>
      <c r="DG149" s="7"/>
      <c r="DH149" s="7"/>
      <c r="DI149" s="7"/>
      <c r="DJ149" s="7"/>
      <c r="DK149" s="7"/>
      <c r="DL149" s="7"/>
      <c r="DM149" s="7"/>
      <c r="DN149" s="7"/>
      <c r="DO149" s="7"/>
      <c r="DP149" s="7"/>
      <c r="DQ149" s="7"/>
      <c r="DR149" s="7"/>
      <c r="DS149" s="7"/>
      <c r="DT149" s="7"/>
      <c r="DU149" s="7"/>
      <c r="DV149" s="7"/>
      <c r="DW149" s="7"/>
      <c r="DX149" s="7"/>
      <c r="DY149" s="7"/>
      <c r="DZ149" s="7"/>
    </row>
    <row r="150" spans="1:130">
      <c r="A150" s="4">
        <v>1090</v>
      </c>
      <c r="B150" s="4">
        <v>3490</v>
      </c>
      <c r="C150" s="4">
        <v>2493</v>
      </c>
      <c r="D150" s="4">
        <v>576</v>
      </c>
      <c r="E150" s="4"/>
      <c r="F150" s="4"/>
      <c r="G150" s="4"/>
      <c r="H150" s="4"/>
      <c r="I150" s="4"/>
      <c r="J150" s="4"/>
      <c r="K150" s="5"/>
      <c r="L150" s="4" t="s">
        <v>253</v>
      </c>
      <c r="M150" s="8" t="s">
        <v>254</v>
      </c>
      <c r="N150" s="4"/>
      <c r="O150" s="8"/>
      <c r="P150" s="8"/>
      <c r="Q150" s="5">
        <v>15000</v>
      </c>
      <c r="R150" s="5">
        <v>0</v>
      </c>
      <c r="S150" s="5">
        <v>15000</v>
      </c>
      <c r="T150" s="5">
        <f>SUM(R150:S150)</f>
        <v>15000</v>
      </c>
      <c r="U150" s="5">
        <f>(T150-Q150)</f>
        <v>0</v>
      </c>
      <c r="V150" s="4" t="s">
        <v>112</v>
      </c>
      <c r="W150" s="5">
        <v>0</v>
      </c>
      <c r="X150" s="5">
        <v>15000</v>
      </c>
      <c r="Y150" s="5">
        <f t="shared" si="24"/>
        <v>0</v>
      </c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>
        <f t="shared" si="25"/>
        <v>0</v>
      </c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>
        <f t="shared" si="26"/>
        <v>15000</v>
      </c>
      <c r="AZ150" s="5">
        <v>15000</v>
      </c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>
        <f t="shared" si="27"/>
        <v>0</v>
      </c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>
        <f t="shared" si="28"/>
        <v>0</v>
      </c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>
        <f t="shared" si="29"/>
        <v>0</v>
      </c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7"/>
      <c r="CZ150" s="7"/>
      <c r="DA150" s="7"/>
      <c r="DB150" s="7"/>
      <c r="DC150" s="7"/>
      <c r="DD150" s="7"/>
      <c r="DE150" s="7"/>
      <c r="DF150" s="7"/>
      <c r="DG150" s="7"/>
      <c r="DH150" s="7"/>
      <c r="DI150" s="7"/>
      <c r="DJ150" s="7"/>
      <c r="DK150" s="7"/>
      <c r="DL150" s="7"/>
      <c r="DM150" s="7"/>
      <c r="DN150" s="7"/>
      <c r="DO150" s="7"/>
      <c r="DP150" s="7"/>
      <c r="DQ150" s="7"/>
      <c r="DR150" s="7"/>
      <c r="DS150" s="7"/>
      <c r="DT150" s="7"/>
      <c r="DU150" s="7"/>
      <c r="DV150" s="7"/>
      <c r="DW150" s="7"/>
      <c r="DX150" s="7"/>
      <c r="DY150" s="7"/>
      <c r="DZ150" s="7"/>
    </row>
    <row r="151" spans="1:130">
      <c r="A151" s="4">
        <v>1090</v>
      </c>
      <c r="B151" s="4">
        <v>3490</v>
      </c>
      <c r="C151" s="4">
        <v>2493</v>
      </c>
      <c r="D151" s="4">
        <v>576</v>
      </c>
      <c r="E151" s="4">
        <v>-1</v>
      </c>
      <c r="F151" s="4"/>
      <c r="G151" s="4"/>
      <c r="H151" s="4"/>
      <c r="I151" s="4"/>
      <c r="J151" s="4"/>
      <c r="K151" s="5"/>
      <c r="L151" s="4" t="s">
        <v>113</v>
      </c>
      <c r="M151" s="8"/>
      <c r="N151" s="4"/>
      <c r="O151" s="8"/>
      <c r="P151" s="8"/>
      <c r="Q151" s="5"/>
      <c r="R151" s="5"/>
      <c r="S151" s="5"/>
      <c r="T151" s="5"/>
      <c r="U151" s="5"/>
      <c r="V151" s="4" t="s">
        <v>114</v>
      </c>
      <c r="W151" s="5"/>
      <c r="X151" s="5">
        <v>15000</v>
      </c>
      <c r="Y151" s="5">
        <f t="shared" si="24"/>
        <v>0</v>
      </c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>
        <f t="shared" si="25"/>
        <v>0</v>
      </c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>
        <f t="shared" si="26"/>
        <v>0</v>
      </c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>
        <f t="shared" si="27"/>
        <v>0</v>
      </c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>
        <f t="shared" si="28"/>
        <v>0</v>
      </c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>
        <f t="shared" si="29"/>
        <v>0</v>
      </c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7"/>
      <c r="CZ151" s="7"/>
      <c r="DA151" s="7"/>
      <c r="DB151" s="7"/>
      <c r="DC151" s="7"/>
      <c r="DD151" s="7"/>
      <c r="DE151" s="7"/>
      <c r="DF151" s="7"/>
      <c r="DG151" s="7"/>
      <c r="DH151" s="7"/>
      <c r="DI151" s="7"/>
      <c r="DJ151" s="7"/>
      <c r="DK151" s="7"/>
      <c r="DL151" s="7"/>
      <c r="DM151" s="7"/>
      <c r="DN151" s="7"/>
      <c r="DO151" s="7"/>
      <c r="DP151" s="7"/>
      <c r="DQ151" s="7"/>
      <c r="DR151" s="7"/>
      <c r="DS151" s="7"/>
      <c r="DT151" s="7"/>
      <c r="DU151" s="7"/>
      <c r="DV151" s="7"/>
      <c r="DW151" s="7"/>
      <c r="DX151" s="7"/>
      <c r="DY151" s="7"/>
      <c r="DZ151" s="7"/>
    </row>
    <row r="152" spans="1:130">
      <c r="A152" s="4">
        <v>1100</v>
      </c>
      <c r="B152" s="4">
        <v>3490</v>
      </c>
      <c r="C152" s="4">
        <v>2493</v>
      </c>
      <c r="D152" s="4">
        <v>577</v>
      </c>
      <c r="E152" s="4"/>
      <c r="F152" s="4"/>
      <c r="G152" s="4"/>
      <c r="H152" s="4"/>
      <c r="I152" s="4"/>
      <c r="J152" s="4"/>
      <c r="K152" s="5"/>
      <c r="L152" s="4" t="s">
        <v>255</v>
      </c>
      <c r="M152" s="8" t="s">
        <v>256</v>
      </c>
      <c r="N152" s="4"/>
      <c r="O152" s="8"/>
      <c r="P152" s="8"/>
      <c r="Q152" s="5">
        <v>10000</v>
      </c>
      <c r="R152" s="5">
        <v>0</v>
      </c>
      <c r="S152" s="5">
        <v>10000</v>
      </c>
      <c r="T152" s="5">
        <f>SUM(R152:S152)</f>
        <v>10000</v>
      </c>
      <c r="U152" s="5">
        <f>(T152-Q152)</f>
        <v>0</v>
      </c>
      <c r="V152" s="4" t="s">
        <v>112</v>
      </c>
      <c r="W152" s="5">
        <v>0</v>
      </c>
      <c r="X152" s="5">
        <v>10000</v>
      </c>
      <c r="Y152" s="5">
        <f t="shared" si="24"/>
        <v>0</v>
      </c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>
        <f t="shared" si="25"/>
        <v>0</v>
      </c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>
        <f t="shared" si="26"/>
        <v>10000</v>
      </c>
      <c r="AZ152" s="5">
        <v>10000</v>
      </c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>
        <f t="shared" si="27"/>
        <v>0</v>
      </c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>
        <f t="shared" si="28"/>
        <v>0</v>
      </c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>
        <f t="shared" si="29"/>
        <v>0</v>
      </c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7"/>
      <c r="CZ152" s="7"/>
      <c r="DA152" s="7"/>
      <c r="DB152" s="7"/>
      <c r="DC152" s="7"/>
      <c r="DD152" s="7"/>
      <c r="DE152" s="7"/>
      <c r="DF152" s="7"/>
      <c r="DG152" s="7"/>
      <c r="DH152" s="7"/>
      <c r="DI152" s="7"/>
      <c r="DJ152" s="7"/>
      <c r="DK152" s="7"/>
      <c r="DL152" s="7"/>
      <c r="DM152" s="7"/>
      <c r="DN152" s="7"/>
      <c r="DO152" s="7"/>
      <c r="DP152" s="7"/>
      <c r="DQ152" s="7"/>
      <c r="DR152" s="7"/>
      <c r="DS152" s="7"/>
      <c r="DT152" s="7"/>
      <c r="DU152" s="7"/>
      <c r="DV152" s="7"/>
      <c r="DW152" s="7"/>
      <c r="DX152" s="7"/>
      <c r="DY152" s="7"/>
      <c r="DZ152" s="7"/>
    </row>
    <row r="153" spans="1:130">
      <c r="A153" s="4">
        <v>1100</v>
      </c>
      <c r="B153" s="4">
        <v>3490</v>
      </c>
      <c r="C153" s="4">
        <v>2493</v>
      </c>
      <c r="D153" s="4">
        <v>577</v>
      </c>
      <c r="E153" s="4">
        <v>-1</v>
      </c>
      <c r="F153" s="4"/>
      <c r="G153" s="4"/>
      <c r="H153" s="4"/>
      <c r="I153" s="4"/>
      <c r="J153" s="4"/>
      <c r="K153" s="5"/>
      <c r="L153" s="4" t="s">
        <v>113</v>
      </c>
      <c r="M153" s="8"/>
      <c r="N153" s="4"/>
      <c r="O153" s="8"/>
      <c r="P153" s="8"/>
      <c r="Q153" s="5"/>
      <c r="R153" s="5"/>
      <c r="S153" s="5"/>
      <c r="T153" s="5"/>
      <c r="U153" s="5"/>
      <c r="V153" s="4" t="s">
        <v>114</v>
      </c>
      <c r="W153" s="5"/>
      <c r="X153" s="5">
        <v>10000</v>
      </c>
      <c r="Y153" s="5">
        <f t="shared" si="24"/>
        <v>0</v>
      </c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>
        <f t="shared" si="25"/>
        <v>0</v>
      </c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>
        <f t="shared" si="26"/>
        <v>0</v>
      </c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>
        <f t="shared" si="27"/>
        <v>0</v>
      </c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>
        <f t="shared" si="28"/>
        <v>10000</v>
      </c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>
        <v>10000</v>
      </c>
      <c r="CK153" s="5"/>
      <c r="CL153" s="5">
        <f t="shared" si="29"/>
        <v>0</v>
      </c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7"/>
      <c r="CZ153" s="7"/>
      <c r="DA153" s="7"/>
      <c r="DB153" s="7"/>
      <c r="DC153" s="7"/>
      <c r="DD153" s="7"/>
      <c r="DE153" s="7"/>
      <c r="DF153" s="7"/>
      <c r="DG153" s="7"/>
      <c r="DH153" s="7"/>
      <c r="DI153" s="7"/>
      <c r="DJ153" s="7"/>
      <c r="DK153" s="7"/>
      <c r="DL153" s="7"/>
      <c r="DM153" s="7"/>
      <c r="DN153" s="7"/>
      <c r="DO153" s="7"/>
      <c r="DP153" s="7"/>
      <c r="DQ153" s="7"/>
      <c r="DR153" s="7"/>
      <c r="DS153" s="7"/>
      <c r="DT153" s="7"/>
      <c r="DU153" s="7"/>
      <c r="DV153" s="7"/>
      <c r="DW153" s="7"/>
      <c r="DX153" s="7"/>
      <c r="DY153" s="7"/>
      <c r="DZ153" s="7"/>
    </row>
    <row r="154" spans="1:130" ht="26">
      <c r="A154" s="4">
        <v>1110</v>
      </c>
      <c r="B154" s="4">
        <v>3490</v>
      </c>
      <c r="C154" s="4">
        <v>2493</v>
      </c>
      <c r="D154" s="4">
        <v>578</v>
      </c>
      <c r="E154" s="4"/>
      <c r="F154" s="4"/>
      <c r="G154" s="4"/>
      <c r="H154" s="4"/>
      <c r="I154" s="4"/>
      <c r="J154" s="4"/>
      <c r="K154" s="5"/>
      <c r="L154" s="4" t="s">
        <v>257</v>
      </c>
      <c r="M154" s="8" t="s">
        <v>258</v>
      </c>
      <c r="N154" s="4"/>
      <c r="O154" s="8"/>
      <c r="P154" s="8"/>
      <c r="Q154" s="5">
        <v>5000</v>
      </c>
      <c r="R154" s="5">
        <v>0</v>
      </c>
      <c r="S154" s="5">
        <v>5000</v>
      </c>
      <c r="T154" s="5">
        <f>SUM(R154:S154)</f>
        <v>5000</v>
      </c>
      <c r="U154" s="5">
        <f>(T154-Q154)</f>
        <v>0</v>
      </c>
      <c r="V154" s="4" t="s">
        <v>112</v>
      </c>
      <c r="W154" s="5">
        <v>0</v>
      </c>
      <c r="X154" s="5">
        <v>5000</v>
      </c>
      <c r="Y154" s="5">
        <f t="shared" si="24"/>
        <v>0</v>
      </c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>
        <f t="shared" si="25"/>
        <v>0</v>
      </c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>
        <f t="shared" si="26"/>
        <v>5000</v>
      </c>
      <c r="AZ154" s="5">
        <v>5000</v>
      </c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>
        <f t="shared" si="27"/>
        <v>0</v>
      </c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>
        <f t="shared" si="28"/>
        <v>0</v>
      </c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>
        <f t="shared" si="29"/>
        <v>0</v>
      </c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7"/>
      <c r="CZ154" s="7"/>
      <c r="DA154" s="7"/>
      <c r="DB154" s="7"/>
      <c r="DC154" s="7"/>
      <c r="DD154" s="7"/>
      <c r="DE154" s="7"/>
      <c r="DF154" s="7"/>
      <c r="DG154" s="7"/>
      <c r="DH154" s="7"/>
      <c r="DI154" s="7"/>
      <c r="DJ154" s="7"/>
      <c r="DK154" s="7"/>
      <c r="DL154" s="7"/>
      <c r="DM154" s="7"/>
      <c r="DN154" s="7"/>
      <c r="DO154" s="7"/>
      <c r="DP154" s="7"/>
      <c r="DQ154" s="7"/>
      <c r="DR154" s="7"/>
      <c r="DS154" s="7"/>
      <c r="DT154" s="7"/>
      <c r="DU154" s="7"/>
      <c r="DV154" s="7"/>
      <c r="DW154" s="7"/>
      <c r="DX154" s="7"/>
      <c r="DY154" s="7"/>
      <c r="DZ154" s="7"/>
    </row>
    <row r="155" spans="1:130">
      <c r="A155" s="4">
        <v>1110</v>
      </c>
      <c r="B155" s="4">
        <v>3490</v>
      </c>
      <c r="C155" s="4">
        <v>2493</v>
      </c>
      <c r="D155" s="4">
        <v>578</v>
      </c>
      <c r="E155" s="4">
        <v>-1</v>
      </c>
      <c r="F155" s="4"/>
      <c r="G155" s="4"/>
      <c r="H155" s="4"/>
      <c r="I155" s="4"/>
      <c r="J155" s="4"/>
      <c r="K155" s="5"/>
      <c r="L155" s="4" t="s">
        <v>113</v>
      </c>
      <c r="M155" s="8"/>
      <c r="N155" s="4"/>
      <c r="O155" s="8"/>
      <c r="P155" s="8"/>
      <c r="Q155" s="5"/>
      <c r="R155" s="5"/>
      <c r="S155" s="5"/>
      <c r="T155" s="5"/>
      <c r="U155" s="5"/>
      <c r="V155" s="4" t="s">
        <v>114</v>
      </c>
      <c r="W155" s="5"/>
      <c r="X155" s="5">
        <v>5000</v>
      </c>
      <c r="Y155" s="5">
        <f t="shared" si="24"/>
        <v>0</v>
      </c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>
        <f t="shared" si="25"/>
        <v>0</v>
      </c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>
        <f t="shared" si="26"/>
        <v>0</v>
      </c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>
        <f t="shared" si="27"/>
        <v>0</v>
      </c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>
        <f t="shared" si="28"/>
        <v>5000</v>
      </c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>
        <v>5000</v>
      </c>
      <c r="CK155" s="5"/>
      <c r="CL155" s="5">
        <f t="shared" si="29"/>
        <v>0</v>
      </c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7"/>
      <c r="CZ155" s="7"/>
      <c r="DA155" s="7"/>
      <c r="DB155" s="7"/>
      <c r="DC155" s="7"/>
      <c r="DD155" s="7"/>
      <c r="DE155" s="7"/>
      <c r="DF155" s="7"/>
      <c r="DG155" s="7"/>
      <c r="DH155" s="7"/>
      <c r="DI155" s="7"/>
      <c r="DJ155" s="7"/>
      <c r="DK155" s="7"/>
      <c r="DL155" s="7"/>
      <c r="DM155" s="7"/>
      <c r="DN155" s="7"/>
      <c r="DO155" s="7"/>
      <c r="DP155" s="7"/>
      <c r="DQ155" s="7"/>
      <c r="DR155" s="7"/>
      <c r="DS155" s="7"/>
      <c r="DT155" s="7"/>
      <c r="DU155" s="7"/>
      <c r="DV155" s="7"/>
      <c r="DW155" s="7"/>
      <c r="DX155" s="7"/>
      <c r="DY155" s="7"/>
      <c r="DZ155" s="7"/>
    </row>
    <row r="156" spans="1:130">
      <c r="A156" s="4">
        <v>1180</v>
      </c>
      <c r="B156" s="4">
        <v>3490</v>
      </c>
      <c r="C156" s="4">
        <v>2493</v>
      </c>
      <c r="D156" s="4">
        <v>506</v>
      </c>
      <c r="E156" s="4"/>
      <c r="F156" s="4"/>
      <c r="G156" s="4"/>
      <c r="H156" s="4"/>
      <c r="I156" s="4"/>
      <c r="J156" s="4"/>
      <c r="K156" s="5"/>
      <c r="L156" s="4" t="s">
        <v>259</v>
      </c>
      <c r="M156" s="8" t="s">
        <v>260</v>
      </c>
      <c r="N156" s="4"/>
      <c r="O156" s="8"/>
      <c r="P156" s="8"/>
      <c r="Q156" s="5">
        <v>41000</v>
      </c>
      <c r="R156" s="5">
        <v>22431</v>
      </c>
      <c r="S156" s="5">
        <v>0</v>
      </c>
      <c r="T156" s="5">
        <f>SUM(R156:S156)</f>
        <v>22431</v>
      </c>
      <c r="U156" s="5">
        <f>(T156-Q156)</f>
        <v>-18569</v>
      </c>
      <c r="V156" s="4" t="s">
        <v>112</v>
      </c>
      <c r="W156" s="5">
        <v>7477</v>
      </c>
      <c r="X156" s="5">
        <v>14954</v>
      </c>
      <c r="Y156" s="5">
        <f t="shared" si="24"/>
        <v>0</v>
      </c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>
        <f t="shared" si="25"/>
        <v>0</v>
      </c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>
        <f t="shared" si="26"/>
        <v>41000</v>
      </c>
      <c r="AZ156" s="5">
        <v>41000</v>
      </c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>
        <f t="shared" si="27"/>
        <v>0</v>
      </c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>
        <f t="shared" si="28"/>
        <v>0</v>
      </c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>
        <f t="shared" si="29"/>
        <v>0</v>
      </c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7"/>
      <c r="CZ156" s="7"/>
      <c r="DA156" s="7"/>
      <c r="DB156" s="7"/>
      <c r="DC156" s="7"/>
      <c r="DD156" s="7"/>
      <c r="DE156" s="7"/>
      <c r="DF156" s="7"/>
      <c r="DG156" s="7"/>
      <c r="DH156" s="7"/>
      <c r="DI156" s="7"/>
      <c r="DJ156" s="7"/>
      <c r="DK156" s="7"/>
      <c r="DL156" s="7"/>
      <c r="DM156" s="7"/>
      <c r="DN156" s="7"/>
      <c r="DO156" s="7"/>
      <c r="DP156" s="7"/>
      <c r="DQ156" s="7"/>
      <c r="DR156" s="7"/>
      <c r="DS156" s="7"/>
      <c r="DT156" s="7"/>
      <c r="DU156" s="7"/>
      <c r="DV156" s="7"/>
      <c r="DW156" s="7"/>
      <c r="DX156" s="7"/>
      <c r="DY156" s="7"/>
      <c r="DZ156" s="7"/>
    </row>
    <row r="157" spans="1:130">
      <c r="A157" s="4">
        <v>1180</v>
      </c>
      <c r="B157" s="4">
        <v>3490</v>
      </c>
      <c r="C157" s="4">
        <v>2493</v>
      </c>
      <c r="D157" s="4">
        <v>506</v>
      </c>
      <c r="E157" s="4">
        <v>-1</v>
      </c>
      <c r="F157" s="4"/>
      <c r="G157" s="4"/>
      <c r="H157" s="4"/>
      <c r="I157" s="4"/>
      <c r="J157" s="4"/>
      <c r="K157" s="5"/>
      <c r="L157" s="4" t="s">
        <v>113</v>
      </c>
      <c r="M157" s="8"/>
      <c r="N157" s="4"/>
      <c r="O157" s="8"/>
      <c r="P157" s="8"/>
      <c r="Q157" s="5"/>
      <c r="R157" s="5"/>
      <c r="S157" s="5"/>
      <c r="T157" s="5"/>
      <c r="U157" s="5"/>
      <c r="V157" s="4" t="s">
        <v>114</v>
      </c>
      <c r="W157" s="5"/>
      <c r="X157" s="5">
        <v>0</v>
      </c>
      <c r="Y157" s="5">
        <f t="shared" si="24"/>
        <v>0</v>
      </c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>
        <f t="shared" si="25"/>
        <v>0</v>
      </c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>
        <f t="shared" si="26"/>
        <v>0</v>
      </c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>
        <f t="shared" si="27"/>
        <v>0</v>
      </c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>
        <f t="shared" si="28"/>
        <v>0</v>
      </c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>
        <f t="shared" si="29"/>
        <v>0</v>
      </c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7"/>
      <c r="CZ157" s="7"/>
      <c r="DA157" s="7"/>
      <c r="DB157" s="7"/>
      <c r="DC157" s="7"/>
      <c r="DD157" s="7"/>
      <c r="DE157" s="7"/>
      <c r="DF157" s="7"/>
      <c r="DG157" s="7"/>
      <c r="DH157" s="7"/>
      <c r="DI157" s="7"/>
      <c r="DJ157" s="7"/>
      <c r="DK157" s="7"/>
      <c r="DL157" s="7"/>
      <c r="DM157" s="7"/>
      <c r="DN157" s="7"/>
      <c r="DO157" s="7"/>
      <c r="DP157" s="7"/>
      <c r="DQ157" s="7"/>
      <c r="DR157" s="7"/>
      <c r="DS157" s="7"/>
      <c r="DT157" s="7"/>
      <c r="DU157" s="7"/>
      <c r="DV157" s="7"/>
      <c r="DW157" s="7"/>
      <c r="DX157" s="7"/>
      <c r="DY157" s="7"/>
      <c r="DZ157" s="7"/>
    </row>
    <row r="158" spans="1:130">
      <c r="A158" s="4">
        <v>1220</v>
      </c>
      <c r="B158" s="4">
        <v>3490</v>
      </c>
      <c r="C158" s="4">
        <v>2493</v>
      </c>
      <c r="D158" s="4">
        <v>581</v>
      </c>
      <c r="E158" s="4"/>
      <c r="F158" s="4"/>
      <c r="G158" s="4"/>
      <c r="H158" s="4"/>
      <c r="I158" s="4"/>
      <c r="J158" s="4"/>
      <c r="K158" s="5"/>
      <c r="L158" s="4" t="s">
        <v>261</v>
      </c>
      <c r="M158" s="8" t="s">
        <v>262</v>
      </c>
      <c r="N158" s="4"/>
      <c r="O158" s="8"/>
      <c r="P158" s="8"/>
      <c r="Q158" s="5">
        <v>21000</v>
      </c>
      <c r="R158" s="5">
        <v>22431</v>
      </c>
      <c r="S158" s="5">
        <v>0</v>
      </c>
      <c r="T158" s="5">
        <f>SUM(R158:S158)</f>
        <v>22431</v>
      </c>
      <c r="U158" s="5">
        <f>(T158-Q158)</f>
        <v>1431</v>
      </c>
      <c r="V158" s="4" t="s">
        <v>112</v>
      </c>
      <c r="W158" s="5">
        <v>7477</v>
      </c>
      <c r="X158" s="5">
        <v>14954</v>
      </c>
      <c r="Y158" s="5">
        <f t="shared" si="24"/>
        <v>0</v>
      </c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>
        <f t="shared" si="25"/>
        <v>0</v>
      </c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>
        <f t="shared" si="26"/>
        <v>21000</v>
      </c>
      <c r="AZ158" s="5">
        <v>21000</v>
      </c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>
        <f t="shared" si="27"/>
        <v>0</v>
      </c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>
        <f t="shared" si="28"/>
        <v>0</v>
      </c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>
        <f t="shared" si="29"/>
        <v>0</v>
      </c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7"/>
      <c r="CZ158" s="7"/>
      <c r="DA158" s="7"/>
      <c r="DB158" s="7"/>
      <c r="DC158" s="7"/>
      <c r="DD158" s="7"/>
      <c r="DE158" s="7"/>
      <c r="DF158" s="7"/>
      <c r="DG158" s="7"/>
      <c r="DH158" s="7"/>
      <c r="DI158" s="7"/>
      <c r="DJ158" s="7"/>
      <c r="DK158" s="7"/>
      <c r="DL158" s="7"/>
      <c r="DM158" s="7"/>
      <c r="DN158" s="7"/>
      <c r="DO158" s="7"/>
      <c r="DP158" s="7"/>
      <c r="DQ158" s="7"/>
      <c r="DR158" s="7"/>
      <c r="DS158" s="7"/>
      <c r="DT158" s="7"/>
      <c r="DU158" s="7"/>
      <c r="DV158" s="7"/>
      <c r="DW158" s="7"/>
      <c r="DX158" s="7"/>
      <c r="DY158" s="7"/>
      <c r="DZ158" s="7"/>
    </row>
    <row r="159" spans="1:130">
      <c r="A159" s="4">
        <v>1220</v>
      </c>
      <c r="B159" s="4">
        <v>3490</v>
      </c>
      <c r="C159" s="4">
        <v>2493</v>
      </c>
      <c r="D159" s="4">
        <v>581</v>
      </c>
      <c r="E159" s="4">
        <v>-1</v>
      </c>
      <c r="F159" s="4"/>
      <c r="G159" s="4"/>
      <c r="H159" s="4"/>
      <c r="I159" s="4"/>
      <c r="J159" s="4"/>
      <c r="K159" s="5"/>
      <c r="L159" s="4" t="s">
        <v>113</v>
      </c>
      <c r="M159" s="8"/>
      <c r="N159" s="4"/>
      <c r="O159" s="8"/>
      <c r="P159" s="8"/>
      <c r="Q159" s="5"/>
      <c r="R159" s="5"/>
      <c r="S159" s="5"/>
      <c r="T159" s="5"/>
      <c r="U159" s="5"/>
      <c r="V159" s="4" t="s">
        <v>114</v>
      </c>
      <c r="W159" s="5"/>
      <c r="X159" s="5">
        <v>0</v>
      </c>
      <c r="Y159" s="5">
        <f t="shared" si="24"/>
        <v>0</v>
      </c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>
        <f t="shared" si="25"/>
        <v>0</v>
      </c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>
        <f t="shared" si="26"/>
        <v>0</v>
      </c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>
        <f t="shared" si="27"/>
        <v>0</v>
      </c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>
        <f t="shared" si="28"/>
        <v>0</v>
      </c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>
        <f t="shared" si="29"/>
        <v>0</v>
      </c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7"/>
      <c r="CZ159" s="7"/>
      <c r="DA159" s="7"/>
      <c r="DB159" s="7"/>
      <c r="DC159" s="7"/>
      <c r="DD159" s="7"/>
      <c r="DE159" s="7"/>
      <c r="DF159" s="7"/>
      <c r="DG159" s="7"/>
      <c r="DH159" s="7"/>
      <c r="DI159" s="7"/>
      <c r="DJ159" s="7"/>
      <c r="DK159" s="7"/>
      <c r="DL159" s="7"/>
      <c r="DM159" s="7"/>
      <c r="DN159" s="7"/>
      <c r="DO159" s="7"/>
      <c r="DP159" s="7"/>
      <c r="DQ159" s="7"/>
      <c r="DR159" s="7"/>
      <c r="DS159" s="7"/>
      <c r="DT159" s="7"/>
      <c r="DU159" s="7"/>
      <c r="DV159" s="7"/>
      <c r="DW159" s="7"/>
      <c r="DX159" s="7"/>
      <c r="DY159" s="7"/>
      <c r="DZ159" s="7"/>
    </row>
    <row r="160" spans="1:130" ht="26">
      <c r="A160" s="4">
        <v>1220</v>
      </c>
      <c r="B160" s="4">
        <v>3490</v>
      </c>
      <c r="C160" s="4">
        <v>2493</v>
      </c>
      <c r="D160" s="4">
        <v>581</v>
      </c>
      <c r="E160" s="4">
        <v>981317</v>
      </c>
      <c r="F160" s="4"/>
      <c r="G160" s="4"/>
      <c r="H160" s="4"/>
      <c r="I160" s="4"/>
      <c r="J160" s="4"/>
      <c r="K160" s="5"/>
      <c r="L160" s="4" t="s">
        <v>113</v>
      </c>
      <c r="M160" s="8"/>
      <c r="N160" s="4" t="s">
        <v>263</v>
      </c>
      <c r="O160" s="8" t="s">
        <v>264</v>
      </c>
      <c r="P160" s="8" t="s">
        <v>265</v>
      </c>
      <c r="Q160" s="5"/>
      <c r="R160" s="5">
        <v>22431</v>
      </c>
      <c r="S160" s="5"/>
      <c r="T160" s="5"/>
      <c r="U160" s="5"/>
      <c r="V160" s="4" t="s">
        <v>120</v>
      </c>
      <c r="W160" s="5"/>
      <c r="X160" s="5"/>
      <c r="Y160" s="5">
        <f t="shared" si="24"/>
        <v>0</v>
      </c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>
        <f t="shared" si="25"/>
        <v>0</v>
      </c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>
        <f t="shared" si="26"/>
        <v>0</v>
      </c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>
        <f t="shared" si="27"/>
        <v>7477</v>
      </c>
      <c r="BM160" s="5">
        <v>635.03</v>
      </c>
      <c r="BN160" s="5">
        <v>573.58000000000004</v>
      </c>
      <c r="BO160" s="5">
        <v>635.03</v>
      </c>
      <c r="BP160" s="5">
        <v>614.54999999999995</v>
      </c>
      <c r="BQ160" s="5">
        <v>635.03</v>
      </c>
      <c r="BR160" s="5">
        <v>614.54999999999995</v>
      </c>
      <c r="BS160" s="5">
        <v>635.03</v>
      </c>
      <c r="BT160" s="5">
        <v>635.03</v>
      </c>
      <c r="BU160" s="5">
        <v>614.54999999999995</v>
      </c>
      <c r="BV160" s="5">
        <v>635.03</v>
      </c>
      <c r="BW160" s="5">
        <v>614.54999999999995</v>
      </c>
      <c r="BX160" s="5">
        <v>635.04</v>
      </c>
      <c r="BY160" s="5">
        <f t="shared" si="28"/>
        <v>7477</v>
      </c>
      <c r="BZ160" s="5">
        <v>633.29999999999995</v>
      </c>
      <c r="CA160" s="5">
        <v>592.44000000000005</v>
      </c>
      <c r="CB160" s="5">
        <v>633.29999999999995</v>
      </c>
      <c r="CC160" s="5">
        <v>612.87</v>
      </c>
      <c r="CD160" s="5">
        <v>633.29999999999995</v>
      </c>
      <c r="CE160" s="5">
        <v>612.87</v>
      </c>
      <c r="CF160" s="5">
        <v>633.29999999999995</v>
      </c>
      <c r="CG160" s="5">
        <v>633.29999999999995</v>
      </c>
      <c r="CH160" s="5">
        <v>612.87</v>
      </c>
      <c r="CI160" s="5">
        <v>633.29999999999995</v>
      </c>
      <c r="CJ160" s="5">
        <v>612.87</v>
      </c>
      <c r="CK160" s="5">
        <v>633.28</v>
      </c>
      <c r="CL160" s="5">
        <f t="shared" si="29"/>
        <v>7477</v>
      </c>
      <c r="CM160" s="5">
        <v>7477</v>
      </c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7"/>
      <c r="CZ160" s="7"/>
      <c r="DA160" s="7"/>
      <c r="DB160" s="7"/>
      <c r="DC160" s="7"/>
      <c r="DD160" s="7"/>
      <c r="DE160" s="7"/>
      <c r="DF160" s="7"/>
      <c r="DG160" s="7"/>
      <c r="DH160" s="7"/>
      <c r="DI160" s="7"/>
      <c r="DJ160" s="7"/>
      <c r="DK160" s="7"/>
      <c r="DL160" s="7"/>
      <c r="DM160" s="7"/>
      <c r="DN160" s="7"/>
      <c r="DO160" s="7"/>
      <c r="DP160" s="7"/>
      <c r="DQ160" s="7"/>
      <c r="DR160" s="7"/>
      <c r="DS160" s="7"/>
      <c r="DT160" s="7"/>
      <c r="DU160" s="7"/>
      <c r="DV160" s="7"/>
      <c r="DW160" s="7"/>
      <c r="DX160" s="7"/>
      <c r="DY160" s="7"/>
      <c r="DZ160" s="7"/>
    </row>
    <row r="161" spans="1:130" ht="26">
      <c r="A161" s="4">
        <v>1220</v>
      </c>
      <c r="B161" s="4">
        <v>3490</v>
      </c>
      <c r="C161" s="4">
        <v>2493</v>
      </c>
      <c r="D161" s="4">
        <v>581</v>
      </c>
      <c r="E161" s="4">
        <v>981317</v>
      </c>
      <c r="F161" s="4"/>
      <c r="G161" s="4"/>
      <c r="H161" s="4"/>
      <c r="I161" s="4"/>
      <c r="J161" s="4"/>
      <c r="K161" s="5"/>
      <c r="L161" s="4" t="s">
        <v>113</v>
      </c>
      <c r="M161" s="8"/>
      <c r="N161" s="4" t="s">
        <v>263</v>
      </c>
      <c r="O161" s="8" t="s">
        <v>264</v>
      </c>
      <c r="P161" s="8" t="s">
        <v>265</v>
      </c>
      <c r="Q161" s="5"/>
      <c r="R161" s="5">
        <v>0</v>
      </c>
      <c r="S161" s="5"/>
      <c r="T161" s="5"/>
      <c r="U161" s="5"/>
      <c r="V161" s="4" t="s">
        <v>121</v>
      </c>
      <c r="W161" s="5">
        <v>7477</v>
      </c>
      <c r="X161" s="5"/>
      <c r="Y161" s="5">
        <f t="shared" si="24"/>
        <v>0</v>
      </c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>
        <f t="shared" si="25"/>
        <v>0</v>
      </c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>
        <f t="shared" si="26"/>
        <v>0</v>
      </c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>
        <f t="shared" si="27"/>
        <v>7477</v>
      </c>
      <c r="BM161" s="5"/>
      <c r="BN161" s="5"/>
      <c r="BO161" s="5">
        <v>7477</v>
      </c>
      <c r="BP161" s="5"/>
      <c r="BQ161" s="5"/>
      <c r="BR161" s="5"/>
      <c r="BS161" s="5"/>
      <c r="BT161" s="5"/>
      <c r="BU161" s="5"/>
      <c r="BV161" s="5"/>
      <c r="BW161" s="5"/>
      <c r="BX161" s="5"/>
      <c r="BY161" s="5">
        <f t="shared" si="28"/>
        <v>0</v>
      </c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>
        <f t="shared" si="29"/>
        <v>0</v>
      </c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7"/>
      <c r="CZ161" s="7"/>
      <c r="DA161" s="7"/>
      <c r="DB161" s="7"/>
      <c r="DC161" s="7"/>
      <c r="DD161" s="7"/>
      <c r="DE161" s="7"/>
      <c r="DF161" s="7"/>
      <c r="DG161" s="7"/>
      <c r="DH161" s="7"/>
      <c r="DI161" s="7"/>
      <c r="DJ161" s="7"/>
      <c r="DK161" s="7"/>
      <c r="DL161" s="7"/>
      <c r="DM161" s="7"/>
      <c r="DN161" s="7"/>
      <c r="DO161" s="7"/>
      <c r="DP161" s="7"/>
      <c r="DQ161" s="7"/>
      <c r="DR161" s="7"/>
      <c r="DS161" s="7"/>
      <c r="DT161" s="7"/>
      <c r="DU161" s="7"/>
      <c r="DV161" s="7"/>
      <c r="DW161" s="7"/>
      <c r="DX161" s="7"/>
      <c r="DY161" s="7"/>
      <c r="DZ161" s="7"/>
    </row>
    <row r="162" spans="1:130">
      <c r="A162" s="4">
        <v>1245</v>
      </c>
      <c r="B162" s="4">
        <v>3490</v>
      </c>
      <c r="C162" s="4">
        <v>-2</v>
      </c>
      <c r="D162" s="4"/>
      <c r="E162" s="4"/>
      <c r="F162" s="4"/>
      <c r="G162" s="4"/>
      <c r="H162" s="4"/>
      <c r="I162" s="4"/>
      <c r="J162" s="4"/>
      <c r="K162" s="5"/>
      <c r="L162" s="4" t="s">
        <v>108</v>
      </c>
      <c r="M162" s="8" t="s">
        <v>266</v>
      </c>
      <c r="N162" s="4"/>
      <c r="O162" s="8"/>
      <c r="P162" s="8"/>
      <c r="Q162" s="5">
        <v>12175261.4</v>
      </c>
      <c r="R162" s="5">
        <v>960919.11</v>
      </c>
      <c r="S162" s="5">
        <v>12492385.27</v>
      </c>
      <c r="T162" s="5">
        <f>SUM(R162:S162)</f>
        <v>13453304.379999999</v>
      </c>
      <c r="U162" s="5">
        <f>(T162-Q162)</f>
        <v>1278042.9799999986</v>
      </c>
      <c r="V162" s="4"/>
      <c r="W162" s="5">
        <v>0</v>
      </c>
      <c r="X162" s="5">
        <v>13453304.380000001</v>
      </c>
      <c r="Y162" s="5">
        <f t="shared" si="24"/>
        <v>0</v>
      </c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>
        <f t="shared" si="25"/>
        <v>0</v>
      </c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>
        <f t="shared" si="26"/>
        <v>30000</v>
      </c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>
        <v>30000</v>
      </c>
      <c r="BL162" s="5">
        <f t="shared" si="27"/>
        <v>5499038.6400000006</v>
      </c>
      <c r="BM162" s="5">
        <v>31310</v>
      </c>
      <c r="BN162" s="5">
        <v>1527</v>
      </c>
      <c r="BO162" s="5">
        <v>229820.95</v>
      </c>
      <c r="BP162" s="5">
        <v>426335.54</v>
      </c>
      <c r="BQ162" s="5">
        <v>463001.08</v>
      </c>
      <c r="BR162" s="5">
        <v>474805.58</v>
      </c>
      <c r="BS162" s="5">
        <v>453781</v>
      </c>
      <c r="BT162" s="5">
        <v>541431</v>
      </c>
      <c r="BU162" s="5">
        <v>621167</v>
      </c>
      <c r="BV162" s="5">
        <v>691551</v>
      </c>
      <c r="BW162" s="5">
        <v>751144</v>
      </c>
      <c r="BX162" s="5">
        <v>813164.49</v>
      </c>
      <c r="BY162" s="5">
        <f t="shared" si="28"/>
        <v>7085974.21</v>
      </c>
      <c r="BZ162" s="5">
        <v>832198</v>
      </c>
      <c r="CA162" s="5">
        <v>850783</v>
      </c>
      <c r="CB162" s="5">
        <v>852821</v>
      </c>
      <c r="CC162" s="5">
        <v>836874</v>
      </c>
      <c r="CD162" s="5">
        <v>801502</v>
      </c>
      <c r="CE162" s="5">
        <v>745266</v>
      </c>
      <c r="CF162" s="5">
        <v>666729</v>
      </c>
      <c r="CG162" s="5">
        <v>564450</v>
      </c>
      <c r="CH162" s="5">
        <v>436992</v>
      </c>
      <c r="CI162" s="5">
        <v>282914</v>
      </c>
      <c r="CJ162" s="5">
        <v>188920.21</v>
      </c>
      <c r="CK162" s="5">
        <v>26525</v>
      </c>
      <c r="CL162" s="5">
        <f t="shared" si="29"/>
        <v>0</v>
      </c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7"/>
      <c r="CZ162" s="7"/>
      <c r="DA162" s="7"/>
      <c r="DB162" s="7"/>
      <c r="DC162" s="7"/>
      <c r="DD162" s="7"/>
      <c r="DE162" s="7"/>
      <c r="DF162" s="7"/>
      <c r="DG162" s="7"/>
      <c r="DH162" s="7"/>
      <c r="DI162" s="7"/>
      <c r="DJ162" s="7"/>
      <c r="DK162" s="7"/>
      <c r="DL162" s="7"/>
      <c r="DM162" s="7"/>
      <c r="DN162" s="7"/>
      <c r="DO162" s="7"/>
      <c r="DP162" s="7"/>
      <c r="DQ162" s="7"/>
      <c r="DR162" s="7"/>
      <c r="DS162" s="7"/>
      <c r="DT162" s="7"/>
      <c r="DU162" s="7"/>
      <c r="DV162" s="7"/>
      <c r="DW162" s="7"/>
      <c r="DX162" s="7"/>
      <c r="DY162" s="7"/>
      <c r="DZ162" s="7"/>
    </row>
    <row r="163" spans="1:130">
      <c r="A163" s="4">
        <v>1255</v>
      </c>
      <c r="B163" s="4">
        <v>3490</v>
      </c>
      <c r="C163" s="4">
        <v>-2</v>
      </c>
      <c r="D163" s="4"/>
      <c r="E163" s="4"/>
      <c r="F163" s="4"/>
      <c r="G163" s="4"/>
      <c r="H163" s="4"/>
      <c r="I163" s="4"/>
      <c r="J163" s="4"/>
      <c r="K163" s="5"/>
      <c r="L163" s="4" t="s">
        <v>267</v>
      </c>
      <c r="M163" s="8" t="s">
        <v>268</v>
      </c>
      <c r="N163" s="4"/>
      <c r="O163" s="8"/>
      <c r="P163" s="8"/>
      <c r="Q163" s="5">
        <v>12465016.4</v>
      </c>
      <c r="R163" s="5">
        <v>960919.11</v>
      </c>
      <c r="S163" s="5">
        <v>12492385.27</v>
      </c>
      <c r="T163" s="5">
        <f>SUM(R163:S163)</f>
        <v>13453304.379999999</v>
      </c>
      <c r="U163" s="5">
        <f>(T163-Q163)</f>
        <v>988287.97999999858</v>
      </c>
      <c r="V163" s="4"/>
      <c r="W163" s="5"/>
      <c r="X163" s="5">
        <v>13453304.380000001</v>
      </c>
      <c r="Y163" s="5">
        <f t="shared" si="24"/>
        <v>0</v>
      </c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>
        <f t="shared" si="25"/>
        <v>0</v>
      </c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>
        <f t="shared" si="26"/>
        <v>30000</v>
      </c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>
        <v>30000</v>
      </c>
      <c r="BL163" s="5">
        <f t="shared" si="27"/>
        <v>5499038.6400000006</v>
      </c>
      <c r="BM163" s="5">
        <v>31310</v>
      </c>
      <c r="BN163" s="5">
        <v>1527</v>
      </c>
      <c r="BO163" s="5">
        <v>229820.95</v>
      </c>
      <c r="BP163" s="5">
        <v>426335.54</v>
      </c>
      <c r="BQ163" s="5">
        <v>463001.08</v>
      </c>
      <c r="BR163" s="5">
        <v>474805.58</v>
      </c>
      <c r="BS163" s="5">
        <v>453781</v>
      </c>
      <c r="BT163" s="5">
        <v>541431</v>
      </c>
      <c r="BU163" s="5">
        <v>621167</v>
      </c>
      <c r="BV163" s="5">
        <v>691551</v>
      </c>
      <c r="BW163" s="5">
        <v>751144</v>
      </c>
      <c r="BX163" s="5">
        <v>813164.49</v>
      </c>
      <c r="BY163" s="5">
        <f t="shared" si="28"/>
        <v>7085974.21</v>
      </c>
      <c r="BZ163" s="5">
        <v>832198</v>
      </c>
      <c r="CA163" s="5">
        <v>850783</v>
      </c>
      <c r="CB163" s="5">
        <v>852821</v>
      </c>
      <c r="CC163" s="5">
        <v>836874</v>
      </c>
      <c r="CD163" s="5">
        <v>801502</v>
      </c>
      <c r="CE163" s="5">
        <v>745266</v>
      </c>
      <c r="CF163" s="5">
        <v>666729</v>
      </c>
      <c r="CG163" s="5">
        <v>564450</v>
      </c>
      <c r="CH163" s="5">
        <v>436992</v>
      </c>
      <c r="CI163" s="5">
        <v>282914</v>
      </c>
      <c r="CJ163" s="5">
        <v>188920.21</v>
      </c>
      <c r="CK163" s="5">
        <v>26525</v>
      </c>
      <c r="CL163" s="5">
        <f t="shared" si="29"/>
        <v>0</v>
      </c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7"/>
      <c r="CZ163" s="7"/>
      <c r="DA163" s="7"/>
      <c r="DB163" s="7"/>
      <c r="DC163" s="7"/>
      <c r="DD163" s="7"/>
      <c r="DE163" s="7"/>
      <c r="DF163" s="7"/>
      <c r="DG163" s="7"/>
      <c r="DH163" s="7"/>
      <c r="DI163" s="7"/>
      <c r="DJ163" s="7"/>
      <c r="DK163" s="7"/>
      <c r="DL163" s="7"/>
      <c r="DM163" s="7"/>
      <c r="DN163" s="7"/>
      <c r="DO163" s="7"/>
      <c r="DP163" s="7"/>
      <c r="DQ163" s="7"/>
      <c r="DR163" s="7"/>
      <c r="DS163" s="7"/>
      <c r="DT163" s="7"/>
      <c r="DU163" s="7"/>
      <c r="DV163" s="7"/>
      <c r="DW163" s="7"/>
      <c r="DX163" s="7"/>
      <c r="DY163" s="7"/>
      <c r="DZ163" s="7"/>
    </row>
    <row r="164" spans="1:130" ht="26">
      <c r="A164" s="4">
        <v>1275</v>
      </c>
      <c r="B164" s="4">
        <v>3490</v>
      </c>
      <c r="C164" s="4">
        <v>-2</v>
      </c>
      <c r="D164" s="4"/>
      <c r="E164" s="4"/>
      <c r="F164" s="4"/>
      <c r="G164" s="4"/>
      <c r="H164" s="4"/>
      <c r="I164" s="4"/>
      <c r="J164" s="4"/>
      <c r="K164" s="5"/>
      <c r="L164" s="4" t="s">
        <v>269</v>
      </c>
      <c r="M164" s="8" t="s">
        <v>270</v>
      </c>
      <c r="N164" s="4"/>
      <c r="O164" s="8"/>
      <c r="P164" s="8"/>
      <c r="Q164" s="5">
        <v>11799985.4</v>
      </c>
      <c r="R164" s="5">
        <v>960919.11</v>
      </c>
      <c r="S164" s="5">
        <v>12492385.27</v>
      </c>
      <c r="T164" s="5">
        <f>SUM(R164:S164)</f>
        <v>13453304.379999999</v>
      </c>
      <c r="U164" s="5">
        <f>(T164-Q164)</f>
        <v>1653318.9799999986</v>
      </c>
      <c r="V164" s="4"/>
      <c r="W164" s="5"/>
      <c r="X164" s="5">
        <v>13453304.380000001</v>
      </c>
      <c r="Y164" s="5">
        <f t="shared" si="24"/>
        <v>0</v>
      </c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>
        <f t="shared" si="25"/>
        <v>0</v>
      </c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>
        <f t="shared" si="26"/>
        <v>30000</v>
      </c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>
        <v>30000</v>
      </c>
      <c r="BL164" s="5">
        <f t="shared" si="27"/>
        <v>5499038.6400000006</v>
      </c>
      <c r="BM164" s="5">
        <v>31310</v>
      </c>
      <c r="BN164" s="5">
        <v>1527</v>
      </c>
      <c r="BO164" s="5">
        <v>229820.95</v>
      </c>
      <c r="BP164" s="5">
        <v>426335.54</v>
      </c>
      <c r="BQ164" s="5">
        <v>463001.08</v>
      </c>
      <c r="BR164" s="5">
        <v>474805.58</v>
      </c>
      <c r="BS164" s="5">
        <v>453781</v>
      </c>
      <c r="BT164" s="5">
        <v>541431</v>
      </c>
      <c r="BU164" s="5">
        <v>621167</v>
      </c>
      <c r="BV164" s="5">
        <v>691551</v>
      </c>
      <c r="BW164" s="5">
        <v>751144</v>
      </c>
      <c r="BX164" s="5">
        <v>813164.49</v>
      </c>
      <c r="BY164" s="5">
        <f t="shared" si="28"/>
        <v>7085974.21</v>
      </c>
      <c r="BZ164" s="5">
        <v>832198</v>
      </c>
      <c r="CA164" s="5">
        <v>850783</v>
      </c>
      <c r="CB164" s="5">
        <v>852821</v>
      </c>
      <c r="CC164" s="5">
        <v>836874</v>
      </c>
      <c r="CD164" s="5">
        <v>801502</v>
      </c>
      <c r="CE164" s="5">
        <v>745266</v>
      </c>
      <c r="CF164" s="5">
        <v>666729</v>
      </c>
      <c r="CG164" s="5">
        <v>564450</v>
      </c>
      <c r="CH164" s="5">
        <v>436992</v>
      </c>
      <c r="CI164" s="5">
        <v>282914</v>
      </c>
      <c r="CJ164" s="5">
        <v>188920.21</v>
      </c>
      <c r="CK164" s="5">
        <v>26525</v>
      </c>
      <c r="CL164" s="5">
        <f t="shared" si="29"/>
        <v>0</v>
      </c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7"/>
      <c r="CZ164" s="7"/>
      <c r="DA164" s="7"/>
      <c r="DB164" s="7"/>
      <c r="DC164" s="7"/>
      <c r="DD164" s="7"/>
      <c r="DE164" s="7"/>
      <c r="DF164" s="7"/>
      <c r="DG164" s="7"/>
      <c r="DH164" s="7"/>
      <c r="DI164" s="7"/>
      <c r="DJ164" s="7"/>
      <c r="DK164" s="7"/>
      <c r="DL164" s="7"/>
      <c r="DM164" s="7"/>
      <c r="DN164" s="7"/>
      <c r="DO164" s="7"/>
      <c r="DP164" s="7"/>
      <c r="DQ164" s="7"/>
      <c r="DR164" s="7"/>
      <c r="DS164" s="7"/>
      <c r="DT164" s="7"/>
      <c r="DU164" s="7"/>
      <c r="DV164" s="7"/>
      <c r="DW164" s="7"/>
      <c r="DX164" s="7"/>
      <c r="DY164" s="7"/>
      <c r="DZ164" s="7"/>
    </row>
    <row r="165" spans="1:130">
      <c r="A165" s="4">
        <v>1280</v>
      </c>
      <c r="B165" s="4">
        <v>3490</v>
      </c>
      <c r="C165" s="4">
        <v>2493</v>
      </c>
      <c r="D165" s="4">
        <v>514</v>
      </c>
      <c r="E165" s="4"/>
      <c r="F165" s="4"/>
      <c r="G165" s="4"/>
      <c r="H165" s="4"/>
      <c r="I165" s="4"/>
      <c r="J165" s="4"/>
      <c r="K165" s="5"/>
      <c r="L165" s="4" t="s">
        <v>271</v>
      </c>
      <c r="M165" s="8" t="s">
        <v>272</v>
      </c>
      <c r="N165" s="4"/>
      <c r="O165" s="8"/>
      <c r="P165" s="8"/>
      <c r="Q165" s="5">
        <v>168935.81</v>
      </c>
      <c r="R165" s="5">
        <v>11539.6</v>
      </c>
      <c r="S165" s="5">
        <v>187385.78</v>
      </c>
      <c r="T165" s="5">
        <f>SUM(R165:S165)</f>
        <v>198925.38</v>
      </c>
      <c r="U165" s="5">
        <f>(T165-Q165)</f>
        <v>29989.570000000007</v>
      </c>
      <c r="V165" s="4"/>
      <c r="W165" s="5">
        <v>0</v>
      </c>
      <c r="X165" s="5">
        <v>198925.38</v>
      </c>
      <c r="Y165" s="5">
        <f t="shared" si="24"/>
        <v>0</v>
      </c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>
        <f t="shared" si="25"/>
        <v>-0.01</v>
      </c>
      <c r="AM165" s="5"/>
      <c r="AN165" s="5"/>
      <c r="AO165" s="5"/>
      <c r="AP165" s="5"/>
      <c r="AQ165" s="5"/>
      <c r="AR165" s="5"/>
      <c r="AS165" s="5">
        <v>-0.01</v>
      </c>
      <c r="AT165" s="5"/>
      <c r="AU165" s="5"/>
      <c r="AV165" s="5"/>
      <c r="AW165" s="5"/>
      <c r="AX165" s="5"/>
      <c r="AY165" s="5">
        <f t="shared" si="26"/>
        <v>449.99</v>
      </c>
      <c r="AZ165" s="5"/>
      <c r="BA165" s="5"/>
      <c r="BB165" s="5"/>
      <c r="BC165" s="5"/>
      <c r="BD165" s="5"/>
      <c r="BE165" s="5"/>
      <c r="BF165" s="5"/>
      <c r="BG165" s="5"/>
      <c r="BH165" s="5"/>
      <c r="BI165" s="5">
        <v>-0.01</v>
      </c>
      <c r="BJ165" s="5"/>
      <c r="BK165" s="5">
        <v>450</v>
      </c>
      <c r="BL165" s="5">
        <f t="shared" si="27"/>
        <v>80758.360000000015</v>
      </c>
      <c r="BM165" s="5">
        <v>469.65</v>
      </c>
      <c r="BN165" s="5">
        <v>22.91</v>
      </c>
      <c r="BO165" s="5">
        <v>3447.32</v>
      </c>
      <c r="BP165" s="5">
        <v>6395.03</v>
      </c>
      <c r="BQ165" s="5">
        <v>6945.02</v>
      </c>
      <c r="BR165" s="5">
        <v>5394.83</v>
      </c>
      <c r="BS165" s="5">
        <v>6806.72</v>
      </c>
      <c r="BT165" s="5">
        <v>8121.47</v>
      </c>
      <c r="BU165" s="5">
        <v>9317.51</v>
      </c>
      <c r="BV165" s="5">
        <v>10373.27</v>
      </c>
      <c r="BW165" s="5">
        <v>11267.16</v>
      </c>
      <c r="BX165" s="5">
        <v>12197.47</v>
      </c>
      <c r="BY165" s="5">
        <f t="shared" si="28"/>
        <v>106289.63000000002</v>
      </c>
      <c r="BZ165" s="5">
        <v>12482.97</v>
      </c>
      <c r="CA165" s="5">
        <v>12761.75</v>
      </c>
      <c r="CB165" s="5">
        <v>12792.32</v>
      </c>
      <c r="CC165" s="5">
        <v>12553.11</v>
      </c>
      <c r="CD165" s="5">
        <v>12022.53</v>
      </c>
      <c r="CE165" s="5">
        <v>11178.99</v>
      </c>
      <c r="CF165" s="5">
        <v>10000.94</v>
      </c>
      <c r="CG165" s="5">
        <v>8466.75</v>
      </c>
      <c r="CH165" s="5">
        <v>6554.88</v>
      </c>
      <c r="CI165" s="5">
        <v>4243.71</v>
      </c>
      <c r="CJ165" s="5">
        <v>2833.8</v>
      </c>
      <c r="CK165" s="5">
        <v>397.88</v>
      </c>
      <c r="CL165" s="5">
        <f t="shared" si="29"/>
        <v>0</v>
      </c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7"/>
      <c r="CZ165" s="7"/>
      <c r="DA165" s="7"/>
      <c r="DB165" s="7"/>
      <c r="DC165" s="7"/>
      <c r="DD165" s="7"/>
      <c r="DE165" s="7"/>
      <c r="DF165" s="7"/>
      <c r="DG165" s="7"/>
      <c r="DH165" s="7"/>
      <c r="DI165" s="7"/>
      <c r="DJ165" s="7"/>
      <c r="DK165" s="7"/>
      <c r="DL165" s="7"/>
      <c r="DM165" s="7"/>
      <c r="DN165" s="7"/>
      <c r="DO165" s="7"/>
      <c r="DP165" s="7"/>
      <c r="DQ165" s="7"/>
      <c r="DR165" s="7"/>
      <c r="DS165" s="7"/>
      <c r="DT165" s="7"/>
      <c r="DU165" s="7"/>
      <c r="DV165" s="7"/>
      <c r="DW165" s="7"/>
      <c r="DX165" s="7"/>
      <c r="DY165" s="7"/>
      <c r="DZ165" s="7"/>
    </row>
    <row r="166" spans="1:130">
      <c r="A166" s="4">
        <v>1285</v>
      </c>
      <c r="B166" s="4">
        <v>3490</v>
      </c>
      <c r="C166" s="4">
        <v>-2</v>
      </c>
      <c r="D166" s="4"/>
      <c r="E166" s="4"/>
      <c r="F166" s="4"/>
      <c r="G166" s="4"/>
      <c r="H166" s="4"/>
      <c r="I166" s="4"/>
      <c r="J166" s="4"/>
      <c r="K166" s="5"/>
      <c r="L166" s="4" t="s">
        <v>273</v>
      </c>
      <c r="M166" s="8" t="s">
        <v>274</v>
      </c>
      <c r="N166" s="4"/>
      <c r="O166" s="8"/>
      <c r="P166" s="8"/>
      <c r="Q166" s="5">
        <v>11968921.210000001</v>
      </c>
      <c r="R166" s="5">
        <v>972458.71</v>
      </c>
      <c r="S166" s="5">
        <v>12679771.050000001</v>
      </c>
      <c r="T166" s="5">
        <f>SUM(R166:S166)</f>
        <v>13652229.760000002</v>
      </c>
      <c r="U166" s="5">
        <f>(T166-Q166)</f>
        <v>1683308.5500000007</v>
      </c>
      <c r="V166" s="4"/>
      <c r="W166" s="5"/>
      <c r="X166" s="5">
        <v>13652229.76</v>
      </c>
      <c r="Y166" s="5">
        <f t="shared" si="24"/>
        <v>0</v>
      </c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>
        <f t="shared" si="25"/>
        <v>-0.01</v>
      </c>
      <c r="AM166" s="5"/>
      <c r="AN166" s="5"/>
      <c r="AO166" s="5"/>
      <c r="AP166" s="5"/>
      <c r="AQ166" s="5"/>
      <c r="AR166" s="5"/>
      <c r="AS166" s="5">
        <v>-0.01</v>
      </c>
      <c r="AT166" s="5"/>
      <c r="AU166" s="5"/>
      <c r="AV166" s="5"/>
      <c r="AW166" s="5"/>
      <c r="AX166" s="5"/>
      <c r="AY166" s="5">
        <f t="shared" si="26"/>
        <v>30449.99</v>
      </c>
      <c r="AZ166" s="5"/>
      <c r="BA166" s="5"/>
      <c r="BB166" s="5"/>
      <c r="BC166" s="5"/>
      <c r="BD166" s="5"/>
      <c r="BE166" s="5"/>
      <c r="BF166" s="5"/>
      <c r="BG166" s="5"/>
      <c r="BH166" s="5"/>
      <c r="BI166" s="5">
        <v>-0.01</v>
      </c>
      <c r="BJ166" s="5"/>
      <c r="BK166" s="5">
        <v>30450</v>
      </c>
      <c r="BL166" s="5">
        <f t="shared" si="27"/>
        <v>5579796.9999999991</v>
      </c>
      <c r="BM166" s="5">
        <v>31779.65</v>
      </c>
      <c r="BN166" s="5">
        <v>1549.91</v>
      </c>
      <c r="BO166" s="5">
        <v>233268.27</v>
      </c>
      <c r="BP166" s="5">
        <v>432730.57</v>
      </c>
      <c r="BQ166" s="5">
        <v>469946.1</v>
      </c>
      <c r="BR166" s="5">
        <v>480200.41</v>
      </c>
      <c r="BS166" s="5">
        <v>460587.72</v>
      </c>
      <c r="BT166" s="5">
        <v>549552.47</v>
      </c>
      <c r="BU166" s="5">
        <v>630484.51</v>
      </c>
      <c r="BV166" s="5">
        <v>701924.27</v>
      </c>
      <c r="BW166" s="5">
        <v>762411.16</v>
      </c>
      <c r="BX166" s="5">
        <v>825361.96</v>
      </c>
      <c r="BY166" s="5">
        <f t="shared" si="28"/>
        <v>7192263.8399999989</v>
      </c>
      <c r="BZ166" s="5">
        <v>844680.97</v>
      </c>
      <c r="CA166" s="5">
        <v>863544.75</v>
      </c>
      <c r="CB166" s="5">
        <v>865613.32</v>
      </c>
      <c r="CC166" s="5">
        <v>849427.11</v>
      </c>
      <c r="CD166" s="5">
        <v>813524.53</v>
      </c>
      <c r="CE166" s="5">
        <v>756444.99</v>
      </c>
      <c r="CF166" s="5">
        <v>676729.94</v>
      </c>
      <c r="CG166" s="5">
        <v>572916.75</v>
      </c>
      <c r="CH166" s="5">
        <v>443546.88</v>
      </c>
      <c r="CI166" s="5">
        <v>287157.71000000002</v>
      </c>
      <c r="CJ166" s="5">
        <v>191754.01</v>
      </c>
      <c r="CK166" s="5">
        <v>26922.880000000001</v>
      </c>
      <c r="CL166" s="5">
        <f t="shared" si="29"/>
        <v>0</v>
      </c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7"/>
      <c r="CZ166" s="7"/>
      <c r="DA166" s="7"/>
      <c r="DB166" s="7"/>
      <c r="DC166" s="7"/>
      <c r="DD166" s="7"/>
      <c r="DE166" s="7"/>
      <c r="DF166" s="7"/>
      <c r="DG166" s="7"/>
      <c r="DH166" s="7"/>
      <c r="DI166" s="7"/>
      <c r="DJ166" s="7"/>
      <c r="DK166" s="7"/>
      <c r="DL166" s="7"/>
      <c r="DM166" s="7"/>
      <c r="DN166" s="7"/>
      <c r="DO166" s="7"/>
      <c r="DP166" s="7"/>
      <c r="DQ166" s="7"/>
      <c r="DR166" s="7"/>
      <c r="DS166" s="7"/>
      <c r="DT166" s="7"/>
      <c r="DU166" s="7"/>
      <c r="DV166" s="7"/>
      <c r="DW166" s="7"/>
      <c r="DX166" s="7"/>
      <c r="DY166" s="7"/>
      <c r="DZ166" s="7"/>
    </row>
    <row r="167" spans="1:130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BX167" s="7"/>
      <c r="BY167" s="7"/>
      <c r="BZ167" s="7"/>
      <c r="CA167" s="7"/>
      <c r="CB167" s="7"/>
      <c r="CC167" s="7"/>
      <c r="CD167" s="7"/>
      <c r="CE167" s="7"/>
      <c r="CF167" s="7"/>
      <c r="CG167" s="7"/>
      <c r="CH167" s="7"/>
      <c r="CI167" s="7"/>
      <c r="CJ167" s="7"/>
      <c r="CK167" s="7"/>
      <c r="CL167" s="7"/>
      <c r="CM167" s="7"/>
      <c r="CN167" s="7"/>
      <c r="CO167" s="7"/>
      <c r="CP167" s="7"/>
      <c r="CQ167" s="7"/>
      <c r="CR167" s="7"/>
      <c r="CS167" s="7"/>
      <c r="CT167" s="7"/>
      <c r="CU167" s="7"/>
      <c r="CV167" s="7"/>
      <c r="CW167" s="7"/>
      <c r="CX167" s="7"/>
      <c r="CY167" s="7"/>
      <c r="CZ167" s="7"/>
      <c r="DA167" s="7"/>
      <c r="DB167" s="7"/>
      <c r="DC167" s="7"/>
      <c r="DD167" s="7"/>
      <c r="DE167" s="7"/>
      <c r="DF167" s="7"/>
      <c r="DG167" s="7"/>
      <c r="DH167" s="7"/>
      <c r="DI167" s="7"/>
      <c r="DJ167" s="7"/>
      <c r="DK167" s="7"/>
      <c r="DL167" s="7"/>
      <c r="DM167" s="7"/>
      <c r="DN167" s="7"/>
      <c r="DO167" s="7"/>
      <c r="DP167" s="7"/>
      <c r="DQ167" s="7"/>
      <c r="DR167" s="7"/>
      <c r="DS167" s="7"/>
      <c r="DT167" s="7"/>
      <c r="DU167" s="7"/>
      <c r="DV167" s="7"/>
      <c r="DW167" s="7"/>
      <c r="DX167" s="7"/>
      <c r="DY167" s="7"/>
      <c r="DZ167" s="7"/>
    </row>
    <row r="168" spans="1:130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  <c r="BY168" s="7"/>
      <c r="BZ168" s="7"/>
      <c r="CA168" s="7"/>
      <c r="CB168" s="7"/>
      <c r="CC168" s="7"/>
      <c r="CD168" s="7"/>
      <c r="CE168" s="7"/>
      <c r="CF168" s="7"/>
      <c r="CG168" s="7"/>
      <c r="CH168" s="7"/>
      <c r="CI168" s="7"/>
      <c r="CJ168" s="7"/>
      <c r="CK168" s="7"/>
      <c r="CL168" s="7"/>
      <c r="CM168" s="7"/>
      <c r="CN168" s="7"/>
      <c r="CO168" s="7"/>
      <c r="CP168" s="7"/>
      <c r="CQ168" s="7"/>
      <c r="CR168" s="7"/>
      <c r="CS168" s="7"/>
      <c r="CT168" s="7"/>
      <c r="CU168" s="7"/>
      <c r="CV168" s="7"/>
      <c r="CW168" s="7"/>
      <c r="CX168" s="7"/>
      <c r="CY168" s="7"/>
      <c r="CZ168" s="7"/>
      <c r="DA168" s="7"/>
      <c r="DB168" s="7"/>
      <c r="DC168" s="7"/>
      <c r="DD168" s="7"/>
      <c r="DE168" s="7"/>
      <c r="DF168" s="7"/>
      <c r="DG168" s="7"/>
      <c r="DH168" s="7"/>
      <c r="DI168" s="7"/>
      <c r="DJ168" s="7"/>
      <c r="DK168" s="7"/>
      <c r="DL168" s="7"/>
      <c r="DM168" s="7"/>
      <c r="DN168" s="7"/>
      <c r="DO168" s="7"/>
      <c r="DP168" s="7"/>
      <c r="DQ168" s="7"/>
      <c r="DR168" s="7"/>
      <c r="DS168" s="7"/>
      <c r="DT168" s="7"/>
      <c r="DU168" s="7"/>
      <c r="DV168" s="7"/>
      <c r="DW168" s="7"/>
      <c r="DX168" s="7"/>
      <c r="DY168" s="7"/>
      <c r="DZ168" s="7"/>
    </row>
    <row r="169" spans="1:130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  <c r="BY169" s="7"/>
      <c r="BZ169" s="7"/>
      <c r="CA169" s="7"/>
      <c r="CB169" s="7"/>
      <c r="CC169" s="7"/>
      <c r="CD169" s="7"/>
      <c r="CE169" s="7"/>
      <c r="CF169" s="7"/>
      <c r="CG169" s="7"/>
      <c r="CH169" s="7"/>
      <c r="CI169" s="7"/>
      <c r="CJ169" s="7"/>
      <c r="CK169" s="7"/>
      <c r="CL169" s="7"/>
      <c r="CM169" s="7"/>
      <c r="CN169" s="7"/>
      <c r="CO169" s="7"/>
      <c r="CP169" s="7"/>
      <c r="CQ169" s="7"/>
      <c r="CR169" s="7"/>
      <c r="CS169" s="7"/>
      <c r="CT169" s="7"/>
      <c r="CU169" s="7"/>
      <c r="CV169" s="7"/>
      <c r="CW169" s="7"/>
      <c r="CX169" s="7"/>
      <c r="CY169" s="7"/>
      <c r="CZ169" s="7"/>
      <c r="DA169" s="7"/>
      <c r="DB169" s="7"/>
      <c r="DC169" s="7"/>
      <c r="DD169" s="7"/>
      <c r="DE169" s="7"/>
      <c r="DF169" s="7"/>
      <c r="DG169" s="7"/>
      <c r="DH169" s="7"/>
      <c r="DI169" s="7"/>
      <c r="DJ169" s="7"/>
      <c r="DK169" s="7"/>
      <c r="DL169" s="7"/>
      <c r="DM169" s="7"/>
      <c r="DN169" s="7"/>
      <c r="DO169" s="7"/>
      <c r="DP169" s="7"/>
      <c r="DQ169" s="7"/>
      <c r="DR169" s="7"/>
      <c r="DS169" s="7"/>
      <c r="DT169" s="7"/>
      <c r="DU169" s="7"/>
      <c r="DV169" s="7"/>
      <c r="DW169" s="7"/>
      <c r="DX169" s="7"/>
      <c r="DY169" s="7"/>
      <c r="DZ169" s="7"/>
    </row>
    <row r="170" spans="1:13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  <c r="BY170" s="7"/>
      <c r="BZ170" s="7"/>
      <c r="CA170" s="7"/>
      <c r="CB170" s="7"/>
      <c r="CC170" s="7"/>
      <c r="CD170" s="7"/>
      <c r="CE170" s="7"/>
      <c r="CF170" s="7"/>
      <c r="CG170" s="7"/>
      <c r="CH170" s="7"/>
      <c r="CI170" s="7"/>
      <c r="CJ170" s="7"/>
      <c r="CK170" s="7"/>
      <c r="CL170" s="7"/>
      <c r="CM170" s="7"/>
      <c r="CN170" s="7"/>
      <c r="CO170" s="7"/>
      <c r="CP170" s="7"/>
      <c r="CQ170" s="7"/>
      <c r="CR170" s="7"/>
      <c r="CS170" s="7"/>
      <c r="CT170" s="7"/>
      <c r="CU170" s="7"/>
      <c r="CV170" s="7"/>
      <c r="CW170" s="7"/>
      <c r="CX170" s="7"/>
      <c r="CY170" s="7"/>
      <c r="CZ170" s="7"/>
      <c r="DA170" s="7"/>
      <c r="DB170" s="7"/>
      <c r="DC170" s="7"/>
      <c r="DD170" s="7"/>
      <c r="DE170" s="7"/>
      <c r="DF170" s="7"/>
      <c r="DG170" s="7"/>
      <c r="DH170" s="7"/>
      <c r="DI170" s="7"/>
      <c r="DJ170" s="7"/>
      <c r="DK170" s="7"/>
      <c r="DL170" s="7"/>
      <c r="DM170" s="7"/>
      <c r="DN170" s="7"/>
      <c r="DO170" s="7"/>
      <c r="DP170" s="7"/>
      <c r="DQ170" s="7"/>
      <c r="DR170" s="7"/>
      <c r="DS170" s="7"/>
      <c r="DT170" s="7"/>
      <c r="DU170" s="7"/>
      <c r="DV170" s="7"/>
      <c r="DW170" s="7"/>
      <c r="DX170" s="7"/>
      <c r="DY170" s="7"/>
      <c r="DZ170" s="7"/>
    </row>
    <row r="171" spans="1:130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BX171" s="7"/>
      <c r="BY171" s="7"/>
      <c r="BZ171" s="7"/>
      <c r="CA171" s="7"/>
      <c r="CB171" s="7"/>
      <c r="CC171" s="7"/>
      <c r="CD171" s="7"/>
      <c r="CE171" s="7"/>
      <c r="CF171" s="7"/>
      <c r="CG171" s="7"/>
      <c r="CH171" s="7"/>
      <c r="CI171" s="7"/>
      <c r="CJ171" s="7"/>
      <c r="CK171" s="7"/>
      <c r="CL171" s="7"/>
      <c r="CM171" s="7"/>
      <c r="CN171" s="7"/>
      <c r="CO171" s="7"/>
      <c r="CP171" s="7"/>
      <c r="CQ171" s="7"/>
      <c r="CR171" s="7"/>
      <c r="CS171" s="7"/>
      <c r="CT171" s="7"/>
      <c r="CU171" s="7"/>
      <c r="CV171" s="7"/>
      <c r="CW171" s="7"/>
      <c r="CX171" s="7"/>
      <c r="CY171" s="7"/>
      <c r="CZ171" s="7"/>
      <c r="DA171" s="7"/>
      <c r="DB171" s="7"/>
      <c r="DC171" s="7"/>
      <c r="DD171" s="7"/>
      <c r="DE171" s="7"/>
      <c r="DF171" s="7"/>
      <c r="DG171" s="7"/>
      <c r="DH171" s="7"/>
      <c r="DI171" s="7"/>
      <c r="DJ171" s="7"/>
      <c r="DK171" s="7"/>
      <c r="DL171" s="7"/>
      <c r="DM171" s="7"/>
      <c r="DN171" s="7"/>
      <c r="DO171" s="7"/>
      <c r="DP171" s="7"/>
      <c r="DQ171" s="7"/>
      <c r="DR171" s="7"/>
      <c r="DS171" s="7"/>
      <c r="DT171" s="7"/>
      <c r="DU171" s="7"/>
      <c r="DV171" s="7"/>
      <c r="DW171" s="7"/>
      <c r="DX171" s="7"/>
      <c r="DY171" s="7"/>
      <c r="DZ171" s="7"/>
    </row>
    <row r="172" spans="1:130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  <c r="BY172" s="7"/>
      <c r="BZ172" s="7"/>
      <c r="CA172" s="7"/>
      <c r="CB172" s="7"/>
      <c r="CC172" s="7"/>
      <c r="CD172" s="7"/>
      <c r="CE172" s="7"/>
      <c r="CF172" s="7"/>
      <c r="CG172" s="7"/>
      <c r="CH172" s="7"/>
      <c r="CI172" s="7"/>
      <c r="CJ172" s="7"/>
      <c r="CK172" s="7"/>
      <c r="CL172" s="7"/>
      <c r="CM172" s="7"/>
      <c r="CN172" s="7"/>
      <c r="CO172" s="7"/>
      <c r="CP172" s="7"/>
      <c r="CQ172" s="7"/>
      <c r="CR172" s="7"/>
      <c r="CS172" s="7"/>
      <c r="CT172" s="7"/>
      <c r="CU172" s="7"/>
      <c r="CV172" s="7"/>
      <c r="CW172" s="7"/>
      <c r="CX172" s="7"/>
      <c r="CY172" s="7"/>
      <c r="CZ172" s="7"/>
      <c r="DA172" s="7"/>
      <c r="DB172" s="7"/>
      <c r="DC172" s="7"/>
      <c r="DD172" s="7"/>
      <c r="DE172" s="7"/>
      <c r="DF172" s="7"/>
      <c r="DG172" s="7"/>
      <c r="DH172" s="7"/>
      <c r="DI172" s="7"/>
      <c r="DJ172" s="7"/>
      <c r="DK172" s="7"/>
      <c r="DL172" s="7"/>
      <c r="DM172" s="7"/>
      <c r="DN172" s="7"/>
      <c r="DO172" s="7"/>
      <c r="DP172" s="7"/>
      <c r="DQ172" s="7"/>
      <c r="DR172" s="7"/>
      <c r="DS172" s="7"/>
      <c r="DT172" s="7"/>
      <c r="DU172" s="7"/>
      <c r="DV172" s="7"/>
      <c r="DW172" s="7"/>
      <c r="DX172" s="7"/>
      <c r="DY172" s="7"/>
      <c r="DZ172" s="7"/>
    </row>
    <row r="173" spans="1:130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BX173" s="7"/>
      <c r="BY173" s="7"/>
      <c r="BZ173" s="7"/>
      <c r="CA173" s="7"/>
      <c r="CB173" s="7"/>
      <c r="CC173" s="7"/>
      <c r="CD173" s="7"/>
      <c r="CE173" s="7"/>
      <c r="CF173" s="7"/>
      <c r="CG173" s="7"/>
      <c r="CH173" s="7"/>
      <c r="CI173" s="7"/>
      <c r="CJ173" s="7"/>
      <c r="CK173" s="7"/>
      <c r="CL173" s="7"/>
      <c r="CM173" s="7"/>
      <c r="CN173" s="7"/>
      <c r="CO173" s="7"/>
      <c r="CP173" s="7"/>
      <c r="CQ173" s="7"/>
      <c r="CR173" s="7"/>
      <c r="CS173" s="7"/>
      <c r="CT173" s="7"/>
      <c r="CU173" s="7"/>
      <c r="CV173" s="7"/>
      <c r="CW173" s="7"/>
      <c r="CX173" s="7"/>
      <c r="CY173" s="7"/>
      <c r="CZ173" s="7"/>
      <c r="DA173" s="7"/>
      <c r="DB173" s="7"/>
      <c r="DC173" s="7"/>
      <c r="DD173" s="7"/>
      <c r="DE173" s="7"/>
      <c r="DF173" s="7"/>
      <c r="DG173" s="7"/>
      <c r="DH173" s="7"/>
      <c r="DI173" s="7"/>
      <c r="DJ173" s="7"/>
      <c r="DK173" s="7"/>
      <c r="DL173" s="7"/>
      <c r="DM173" s="7"/>
      <c r="DN173" s="7"/>
      <c r="DO173" s="7"/>
      <c r="DP173" s="7"/>
      <c r="DQ173" s="7"/>
      <c r="DR173" s="7"/>
      <c r="DS173" s="7"/>
      <c r="DT173" s="7"/>
      <c r="DU173" s="7"/>
      <c r="DV173" s="7"/>
      <c r="DW173" s="7"/>
      <c r="DX173" s="7"/>
      <c r="DY173" s="7"/>
      <c r="DZ173" s="7"/>
    </row>
    <row r="174" spans="1:130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  <c r="BY174" s="7"/>
      <c r="BZ174" s="7"/>
      <c r="CA174" s="7"/>
      <c r="CB174" s="7"/>
      <c r="CC174" s="7"/>
      <c r="CD174" s="7"/>
      <c r="CE174" s="7"/>
      <c r="CF174" s="7"/>
      <c r="CG174" s="7"/>
      <c r="CH174" s="7"/>
      <c r="CI174" s="7"/>
      <c r="CJ174" s="7"/>
      <c r="CK174" s="7"/>
      <c r="CL174" s="7"/>
      <c r="CM174" s="7"/>
      <c r="CN174" s="7"/>
      <c r="CO174" s="7"/>
      <c r="CP174" s="7"/>
      <c r="CQ174" s="7"/>
      <c r="CR174" s="7"/>
      <c r="CS174" s="7"/>
      <c r="CT174" s="7"/>
      <c r="CU174" s="7"/>
      <c r="CV174" s="7"/>
      <c r="CW174" s="7"/>
      <c r="CX174" s="7"/>
      <c r="CY174" s="7"/>
      <c r="CZ174" s="7"/>
      <c r="DA174" s="7"/>
      <c r="DB174" s="7"/>
      <c r="DC174" s="7"/>
      <c r="DD174" s="7"/>
      <c r="DE174" s="7"/>
      <c r="DF174" s="7"/>
      <c r="DG174" s="7"/>
      <c r="DH174" s="7"/>
      <c r="DI174" s="7"/>
      <c r="DJ174" s="7"/>
      <c r="DK174" s="7"/>
      <c r="DL174" s="7"/>
      <c r="DM174" s="7"/>
      <c r="DN174" s="7"/>
      <c r="DO174" s="7"/>
      <c r="DP174" s="7"/>
      <c r="DQ174" s="7"/>
      <c r="DR174" s="7"/>
      <c r="DS174" s="7"/>
      <c r="DT174" s="7"/>
      <c r="DU174" s="7"/>
      <c r="DV174" s="7"/>
      <c r="DW174" s="7"/>
      <c r="DX174" s="7"/>
      <c r="DY174" s="7"/>
      <c r="DZ174" s="7"/>
    </row>
    <row r="175" spans="1:130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  <c r="BY175" s="7"/>
      <c r="BZ175" s="7"/>
      <c r="CA175" s="7"/>
      <c r="CB175" s="7"/>
      <c r="CC175" s="7"/>
      <c r="CD175" s="7"/>
      <c r="CE175" s="7"/>
      <c r="CF175" s="7"/>
      <c r="CG175" s="7"/>
      <c r="CH175" s="7"/>
      <c r="CI175" s="7"/>
      <c r="CJ175" s="7"/>
      <c r="CK175" s="7"/>
      <c r="CL175" s="7"/>
      <c r="CM175" s="7"/>
      <c r="CN175" s="7"/>
      <c r="CO175" s="7"/>
      <c r="CP175" s="7"/>
      <c r="CQ175" s="7"/>
      <c r="CR175" s="7"/>
      <c r="CS175" s="7"/>
      <c r="CT175" s="7"/>
      <c r="CU175" s="7"/>
      <c r="CV175" s="7"/>
      <c r="CW175" s="7"/>
      <c r="CX175" s="7"/>
      <c r="CY175" s="7"/>
      <c r="CZ175" s="7"/>
      <c r="DA175" s="7"/>
      <c r="DB175" s="7"/>
      <c r="DC175" s="7"/>
      <c r="DD175" s="7"/>
      <c r="DE175" s="7"/>
      <c r="DF175" s="7"/>
      <c r="DG175" s="7"/>
      <c r="DH175" s="7"/>
      <c r="DI175" s="7"/>
      <c r="DJ175" s="7"/>
      <c r="DK175" s="7"/>
      <c r="DL175" s="7"/>
      <c r="DM175" s="7"/>
      <c r="DN175" s="7"/>
      <c r="DO175" s="7"/>
      <c r="DP175" s="7"/>
      <c r="DQ175" s="7"/>
      <c r="DR175" s="7"/>
      <c r="DS175" s="7"/>
      <c r="DT175" s="7"/>
      <c r="DU175" s="7"/>
      <c r="DV175" s="7"/>
      <c r="DW175" s="7"/>
      <c r="DX175" s="7"/>
      <c r="DY175" s="7"/>
      <c r="DZ175" s="7"/>
    </row>
    <row r="176" spans="1:130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  <c r="CA176" s="7"/>
      <c r="CB176" s="7"/>
      <c r="CC176" s="7"/>
      <c r="CD176" s="7"/>
      <c r="CE176" s="7"/>
      <c r="CF176" s="7"/>
      <c r="CG176" s="7"/>
      <c r="CH176" s="7"/>
      <c r="CI176" s="7"/>
      <c r="CJ176" s="7"/>
      <c r="CK176" s="7"/>
      <c r="CL176" s="7"/>
      <c r="CM176" s="7"/>
      <c r="CN176" s="7"/>
      <c r="CO176" s="7"/>
      <c r="CP176" s="7"/>
      <c r="CQ176" s="7"/>
      <c r="CR176" s="7"/>
      <c r="CS176" s="7"/>
      <c r="CT176" s="7"/>
      <c r="CU176" s="7"/>
      <c r="CV176" s="7"/>
      <c r="CW176" s="7"/>
      <c r="CX176" s="7"/>
      <c r="CY176" s="7"/>
      <c r="CZ176" s="7"/>
      <c r="DA176" s="7"/>
      <c r="DB176" s="7"/>
      <c r="DC176" s="7"/>
      <c r="DD176" s="7"/>
      <c r="DE176" s="7"/>
      <c r="DF176" s="7"/>
      <c r="DG176" s="7"/>
      <c r="DH176" s="7"/>
      <c r="DI176" s="7"/>
      <c r="DJ176" s="7"/>
      <c r="DK176" s="7"/>
      <c r="DL176" s="7"/>
      <c r="DM176" s="7"/>
      <c r="DN176" s="7"/>
      <c r="DO176" s="7"/>
      <c r="DP176" s="7"/>
      <c r="DQ176" s="7"/>
      <c r="DR176" s="7"/>
      <c r="DS176" s="7"/>
      <c r="DT176" s="7"/>
      <c r="DU176" s="7"/>
      <c r="DV176" s="7"/>
      <c r="DW176" s="7"/>
      <c r="DX176" s="7"/>
      <c r="DY176" s="7"/>
      <c r="DZ176" s="7"/>
    </row>
    <row r="177" spans="1:130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  <c r="BY177" s="7"/>
      <c r="BZ177" s="7"/>
      <c r="CA177" s="7"/>
      <c r="CB177" s="7"/>
      <c r="CC177" s="7"/>
      <c r="CD177" s="7"/>
      <c r="CE177" s="7"/>
      <c r="CF177" s="7"/>
      <c r="CG177" s="7"/>
      <c r="CH177" s="7"/>
      <c r="CI177" s="7"/>
      <c r="CJ177" s="7"/>
      <c r="CK177" s="7"/>
      <c r="CL177" s="7"/>
      <c r="CM177" s="7"/>
      <c r="CN177" s="7"/>
      <c r="CO177" s="7"/>
      <c r="CP177" s="7"/>
      <c r="CQ177" s="7"/>
      <c r="CR177" s="7"/>
      <c r="CS177" s="7"/>
      <c r="CT177" s="7"/>
      <c r="CU177" s="7"/>
      <c r="CV177" s="7"/>
      <c r="CW177" s="7"/>
      <c r="CX177" s="7"/>
      <c r="CY177" s="7"/>
      <c r="CZ177" s="7"/>
      <c r="DA177" s="7"/>
      <c r="DB177" s="7"/>
      <c r="DC177" s="7"/>
      <c r="DD177" s="7"/>
      <c r="DE177" s="7"/>
      <c r="DF177" s="7"/>
      <c r="DG177" s="7"/>
      <c r="DH177" s="7"/>
      <c r="DI177" s="7"/>
      <c r="DJ177" s="7"/>
      <c r="DK177" s="7"/>
      <c r="DL177" s="7"/>
      <c r="DM177" s="7"/>
      <c r="DN177" s="7"/>
      <c r="DO177" s="7"/>
      <c r="DP177" s="7"/>
      <c r="DQ177" s="7"/>
      <c r="DR177" s="7"/>
      <c r="DS177" s="7"/>
      <c r="DT177" s="7"/>
      <c r="DU177" s="7"/>
      <c r="DV177" s="7"/>
      <c r="DW177" s="7"/>
      <c r="DX177" s="7"/>
      <c r="DY177" s="7"/>
      <c r="DZ177" s="7"/>
    </row>
    <row r="178" spans="1:130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  <c r="BY178" s="7"/>
      <c r="BZ178" s="7"/>
      <c r="CA178" s="7"/>
      <c r="CB178" s="7"/>
      <c r="CC178" s="7"/>
      <c r="CD178" s="7"/>
      <c r="CE178" s="7"/>
      <c r="CF178" s="7"/>
      <c r="CG178" s="7"/>
      <c r="CH178" s="7"/>
      <c r="CI178" s="7"/>
      <c r="CJ178" s="7"/>
      <c r="CK178" s="7"/>
      <c r="CL178" s="7"/>
      <c r="CM178" s="7"/>
      <c r="CN178" s="7"/>
      <c r="CO178" s="7"/>
      <c r="CP178" s="7"/>
      <c r="CQ178" s="7"/>
      <c r="CR178" s="7"/>
      <c r="CS178" s="7"/>
      <c r="CT178" s="7"/>
      <c r="CU178" s="7"/>
      <c r="CV178" s="7"/>
      <c r="CW178" s="7"/>
      <c r="CX178" s="7"/>
      <c r="CY178" s="7"/>
      <c r="CZ178" s="7"/>
      <c r="DA178" s="7"/>
      <c r="DB178" s="7"/>
      <c r="DC178" s="7"/>
      <c r="DD178" s="7"/>
      <c r="DE178" s="7"/>
      <c r="DF178" s="7"/>
      <c r="DG178" s="7"/>
      <c r="DH178" s="7"/>
      <c r="DI178" s="7"/>
      <c r="DJ178" s="7"/>
      <c r="DK178" s="7"/>
      <c r="DL178" s="7"/>
      <c r="DM178" s="7"/>
      <c r="DN178" s="7"/>
      <c r="DO178" s="7"/>
      <c r="DP178" s="7"/>
      <c r="DQ178" s="7"/>
      <c r="DR178" s="7"/>
      <c r="DS178" s="7"/>
      <c r="DT178" s="7"/>
      <c r="DU178" s="7"/>
      <c r="DV178" s="7"/>
      <c r="DW178" s="7"/>
      <c r="DX178" s="7"/>
      <c r="DY178" s="7"/>
      <c r="DZ178" s="7"/>
    </row>
    <row r="179" spans="1:130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  <c r="BY179" s="7"/>
      <c r="BZ179" s="7"/>
      <c r="CA179" s="7"/>
      <c r="CB179" s="7"/>
      <c r="CC179" s="7"/>
      <c r="CD179" s="7"/>
      <c r="CE179" s="7"/>
      <c r="CF179" s="7"/>
      <c r="CG179" s="7"/>
      <c r="CH179" s="7"/>
      <c r="CI179" s="7"/>
      <c r="CJ179" s="7"/>
      <c r="CK179" s="7"/>
      <c r="CL179" s="7"/>
      <c r="CM179" s="7"/>
      <c r="CN179" s="7"/>
      <c r="CO179" s="7"/>
      <c r="CP179" s="7"/>
      <c r="CQ179" s="7"/>
      <c r="CR179" s="7"/>
      <c r="CS179" s="7"/>
      <c r="CT179" s="7"/>
      <c r="CU179" s="7"/>
      <c r="CV179" s="7"/>
      <c r="CW179" s="7"/>
      <c r="CX179" s="7"/>
      <c r="CY179" s="7"/>
      <c r="CZ179" s="7"/>
      <c r="DA179" s="7"/>
      <c r="DB179" s="7"/>
      <c r="DC179" s="7"/>
      <c r="DD179" s="7"/>
      <c r="DE179" s="7"/>
      <c r="DF179" s="7"/>
      <c r="DG179" s="7"/>
      <c r="DH179" s="7"/>
      <c r="DI179" s="7"/>
      <c r="DJ179" s="7"/>
      <c r="DK179" s="7"/>
      <c r="DL179" s="7"/>
      <c r="DM179" s="7"/>
      <c r="DN179" s="7"/>
      <c r="DO179" s="7"/>
      <c r="DP179" s="7"/>
      <c r="DQ179" s="7"/>
      <c r="DR179" s="7"/>
      <c r="DS179" s="7"/>
      <c r="DT179" s="7"/>
      <c r="DU179" s="7"/>
      <c r="DV179" s="7"/>
      <c r="DW179" s="7"/>
      <c r="DX179" s="7"/>
      <c r="DY179" s="7"/>
      <c r="DZ179" s="7"/>
    </row>
    <row r="180" spans="1:13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  <c r="BY180" s="7"/>
      <c r="BZ180" s="7"/>
      <c r="CA180" s="7"/>
      <c r="CB180" s="7"/>
      <c r="CC180" s="7"/>
      <c r="CD180" s="7"/>
      <c r="CE180" s="7"/>
      <c r="CF180" s="7"/>
      <c r="CG180" s="7"/>
      <c r="CH180" s="7"/>
      <c r="CI180" s="7"/>
      <c r="CJ180" s="7"/>
      <c r="CK180" s="7"/>
      <c r="CL180" s="7"/>
      <c r="CM180" s="7"/>
      <c r="CN180" s="7"/>
      <c r="CO180" s="7"/>
      <c r="CP180" s="7"/>
      <c r="CQ180" s="7"/>
      <c r="CR180" s="7"/>
      <c r="CS180" s="7"/>
      <c r="CT180" s="7"/>
      <c r="CU180" s="7"/>
      <c r="CV180" s="7"/>
      <c r="CW180" s="7"/>
      <c r="CX180" s="7"/>
      <c r="CY180" s="7"/>
      <c r="CZ180" s="7"/>
      <c r="DA180" s="7"/>
      <c r="DB180" s="7"/>
      <c r="DC180" s="7"/>
      <c r="DD180" s="7"/>
      <c r="DE180" s="7"/>
      <c r="DF180" s="7"/>
      <c r="DG180" s="7"/>
      <c r="DH180" s="7"/>
      <c r="DI180" s="7"/>
      <c r="DJ180" s="7"/>
      <c r="DK180" s="7"/>
      <c r="DL180" s="7"/>
      <c r="DM180" s="7"/>
      <c r="DN180" s="7"/>
      <c r="DO180" s="7"/>
      <c r="DP180" s="7"/>
      <c r="DQ180" s="7"/>
      <c r="DR180" s="7"/>
      <c r="DS180" s="7"/>
      <c r="DT180" s="7"/>
      <c r="DU180" s="7"/>
      <c r="DV180" s="7"/>
      <c r="DW180" s="7"/>
      <c r="DX180" s="7"/>
      <c r="DY180" s="7"/>
      <c r="DZ180" s="7"/>
    </row>
    <row r="181" spans="1:130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  <c r="BY181" s="7"/>
      <c r="BZ181" s="7"/>
      <c r="CA181" s="7"/>
      <c r="CB181" s="7"/>
      <c r="CC181" s="7"/>
      <c r="CD181" s="7"/>
      <c r="CE181" s="7"/>
      <c r="CF181" s="7"/>
      <c r="CG181" s="7"/>
      <c r="CH181" s="7"/>
      <c r="CI181" s="7"/>
      <c r="CJ181" s="7"/>
      <c r="CK181" s="7"/>
      <c r="CL181" s="7"/>
      <c r="CM181" s="7"/>
      <c r="CN181" s="7"/>
      <c r="CO181" s="7"/>
      <c r="CP181" s="7"/>
      <c r="CQ181" s="7"/>
      <c r="CR181" s="7"/>
      <c r="CS181" s="7"/>
      <c r="CT181" s="7"/>
      <c r="CU181" s="7"/>
      <c r="CV181" s="7"/>
      <c r="CW181" s="7"/>
      <c r="CX181" s="7"/>
      <c r="CY181" s="7"/>
      <c r="CZ181" s="7"/>
      <c r="DA181" s="7"/>
      <c r="DB181" s="7"/>
      <c r="DC181" s="7"/>
      <c r="DD181" s="7"/>
      <c r="DE181" s="7"/>
      <c r="DF181" s="7"/>
      <c r="DG181" s="7"/>
      <c r="DH181" s="7"/>
      <c r="DI181" s="7"/>
      <c r="DJ181" s="7"/>
      <c r="DK181" s="7"/>
      <c r="DL181" s="7"/>
      <c r="DM181" s="7"/>
      <c r="DN181" s="7"/>
      <c r="DO181" s="7"/>
      <c r="DP181" s="7"/>
      <c r="DQ181" s="7"/>
      <c r="DR181" s="7"/>
      <c r="DS181" s="7"/>
      <c r="DT181" s="7"/>
      <c r="DU181" s="7"/>
      <c r="DV181" s="7"/>
      <c r="DW181" s="7"/>
      <c r="DX181" s="7"/>
      <c r="DY181" s="7"/>
      <c r="DZ181" s="7"/>
    </row>
    <row r="182" spans="1:130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  <c r="BY182" s="7"/>
      <c r="BZ182" s="7"/>
      <c r="CA182" s="7"/>
      <c r="CB182" s="7"/>
      <c r="CC182" s="7"/>
      <c r="CD182" s="7"/>
      <c r="CE182" s="7"/>
      <c r="CF182" s="7"/>
      <c r="CG182" s="7"/>
      <c r="CH182" s="7"/>
      <c r="CI182" s="7"/>
      <c r="CJ182" s="7"/>
      <c r="CK182" s="7"/>
      <c r="CL182" s="7"/>
      <c r="CM182" s="7"/>
      <c r="CN182" s="7"/>
      <c r="CO182" s="7"/>
      <c r="CP182" s="7"/>
      <c r="CQ182" s="7"/>
      <c r="CR182" s="7"/>
      <c r="CS182" s="7"/>
      <c r="CT182" s="7"/>
      <c r="CU182" s="7"/>
      <c r="CV182" s="7"/>
      <c r="CW182" s="7"/>
      <c r="CX182" s="7"/>
      <c r="CY182" s="7"/>
      <c r="CZ182" s="7"/>
      <c r="DA182" s="7"/>
      <c r="DB182" s="7"/>
      <c r="DC182" s="7"/>
      <c r="DD182" s="7"/>
      <c r="DE182" s="7"/>
      <c r="DF182" s="7"/>
      <c r="DG182" s="7"/>
      <c r="DH182" s="7"/>
      <c r="DI182" s="7"/>
      <c r="DJ182" s="7"/>
      <c r="DK182" s="7"/>
      <c r="DL182" s="7"/>
      <c r="DM182" s="7"/>
      <c r="DN182" s="7"/>
      <c r="DO182" s="7"/>
      <c r="DP182" s="7"/>
      <c r="DQ182" s="7"/>
      <c r="DR182" s="7"/>
      <c r="DS182" s="7"/>
      <c r="DT182" s="7"/>
      <c r="DU182" s="7"/>
      <c r="DV182" s="7"/>
      <c r="DW182" s="7"/>
      <c r="DX182" s="7"/>
      <c r="DY182" s="7"/>
      <c r="DZ182" s="7"/>
    </row>
    <row r="183" spans="1:130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  <c r="BY183" s="7"/>
      <c r="BZ183" s="7"/>
      <c r="CA183" s="7"/>
      <c r="CB183" s="7"/>
      <c r="CC183" s="7"/>
      <c r="CD183" s="7"/>
      <c r="CE183" s="7"/>
      <c r="CF183" s="7"/>
      <c r="CG183" s="7"/>
      <c r="CH183" s="7"/>
      <c r="CI183" s="7"/>
      <c r="CJ183" s="7"/>
      <c r="CK183" s="7"/>
      <c r="CL183" s="7"/>
      <c r="CM183" s="7"/>
      <c r="CN183" s="7"/>
      <c r="CO183" s="7"/>
      <c r="CP183" s="7"/>
      <c r="CQ183" s="7"/>
      <c r="CR183" s="7"/>
      <c r="CS183" s="7"/>
      <c r="CT183" s="7"/>
      <c r="CU183" s="7"/>
      <c r="CV183" s="7"/>
      <c r="CW183" s="7"/>
      <c r="CX183" s="7"/>
      <c r="CY183" s="7"/>
      <c r="CZ183" s="7"/>
      <c r="DA183" s="7"/>
      <c r="DB183" s="7"/>
      <c r="DC183" s="7"/>
      <c r="DD183" s="7"/>
      <c r="DE183" s="7"/>
      <c r="DF183" s="7"/>
      <c r="DG183" s="7"/>
      <c r="DH183" s="7"/>
      <c r="DI183" s="7"/>
      <c r="DJ183" s="7"/>
      <c r="DK183" s="7"/>
      <c r="DL183" s="7"/>
      <c r="DM183" s="7"/>
      <c r="DN183" s="7"/>
      <c r="DO183" s="7"/>
      <c r="DP183" s="7"/>
      <c r="DQ183" s="7"/>
      <c r="DR183" s="7"/>
      <c r="DS183" s="7"/>
      <c r="DT183" s="7"/>
      <c r="DU183" s="7"/>
      <c r="DV183" s="7"/>
      <c r="DW183" s="7"/>
      <c r="DX183" s="7"/>
      <c r="DY183" s="7"/>
      <c r="DZ183" s="7"/>
    </row>
    <row r="184" spans="1:130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  <c r="BY184" s="7"/>
      <c r="BZ184" s="7"/>
      <c r="CA184" s="7"/>
      <c r="CB184" s="7"/>
      <c r="CC184" s="7"/>
      <c r="CD184" s="7"/>
      <c r="CE184" s="7"/>
      <c r="CF184" s="7"/>
      <c r="CG184" s="7"/>
      <c r="CH184" s="7"/>
      <c r="CI184" s="7"/>
      <c r="CJ184" s="7"/>
      <c r="CK184" s="7"/>
      <c r="CL184" s="7"/>
      <c r="CM184" s="7"/>
      <c r="CN184" s="7"/>
      <c r="CO184" s="7"/>
      <c r="CP184" s="7"/>
      <c r="CQ184" s="7"/>
      <c r="CR184" s="7"/>
      <c r="CS184" s="7"/>
      <c r="CT184" s="7"/>
      <c r="CU184" s="7"/>
      <c r="CV184" s="7"/>
      <c r="CW184" s="7"/>
      <c r="CX184" s="7"/>
      <c r="CY184" s="7"/>
      <c r="CZ184" s="7"/>
      <c r="DA184" s="7"/>
      <c r="DB184" s="7"/>
      <c r="DC184" s="7"/>
      <c r="DD184" s="7"/>
      <c r="DE184" s="7"/>
      <c r="DF184" s="7"/>
      <c r="DG184" s="7"/>
      <c r="DH184" s="7"/>
      <c r="DI184" s="7"/>
      <c r="DJ184" s="7"/>
      <c r="DK184" s="7"/>
      <c r="DL184" s="7"/>
      <c r="DM184" s="7"/>
      <c r="DN184" s="7"/>
      <c r="DO184" s="7"/>
      <c r="DP184" s="7"/>
      <c r="DQ184" s="7"/>
      <c r="DR184" s="7"/>
      <c r="DS184" s="7"/>
      <c r="DT184" s="7"/>
      <c r="DU184" s="7"/>
      <c r="DV184" s="7"/>
      <c r="DW184" s="7"/>
      <c r="DX184" s="7"/>
      <c r="DY184" s="7"/>
      <c r="DZ184" s="7"/>
    </row>
    <row r="185" spans="1:130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  <c r="BX185" s="7"/>
      <c r="BY185" s="7"/>
      <c r="BZ185" s="7"/>
      <c r="CA185" s="7"/>
      <c r="CB185" s="7"/>
      <c r="CC185" s="7"/>
      <c r="CD185" s="7"/>
      <c r="CE185" s="7"/>
      <c r="CF185" s="7"/>
      <c r="CG185" s="7"/>
      <c r="CH185" s="7"/>
      <c r="CI185" s="7"/>
      <c r="CJ185" s="7"/>
      <c r="CK185" s="7"/>
      <c r="CL185" s="7"/>
      <c r="CM185" s="7"/>
      <c r="CN185" s="7"/>
      <c r="CO185" s="7"/>
      <c r="CP185" s="7"/>
      <c r="CQ185" s="7"/>
      <c r="CR185" s="7"/>
      <c r="CS185" s="7"/>
      <c r="CT185" s="7"/>
      <c r="CU185" s="7"/>
      <c r="CV185" s="7"/>
      <c r="CW185" s="7"/>
      <c r="CX185" s="7"/>
      <c r="CY185" s="7"/>
      <c r="CZ185" s="7"/>
      <c r="DA185" s="7"/>
      <c r="DB185" s="7"/>
      <c r="DC185" s="7"/>
      <c r="DD185" s="7"/>
      <c r="DE185" s="7"/>
      <c r="DF185" s="7"/>
      <c r="DG185" s="7"/>
      <c r="DH185" s="7"/>
      <c r="DI185" s="7"/>
      <c r="DJ185" s="7"/>
      <c r="DK185" s="7"/>
      <c r="DL185" s="7"/>
      <c r="DM185" s="7"/>
      <c r="DN185" s="7"/>
      <c r="DO185" s="7"/>
      <c r="DP185" s="7"/>
      <c r="DQ185" s="7"/>
      <c r="DR185" s="7"/>
      <c r="DS185" s="7"/>
      <c r="DT185" s="7"/>
      <c r="DU185" s="7"/>
      <c r="DV185" s="7"/>
      <c r="DW185" s="7"/>
      <c r="DX185" s="7"/>
      <c r="DY185" s="7"/>
      <c r="DZ185" s="7"/>
    </row>
    <row r="186" spans="1:130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  <c r="BY186" s="7"/>
      <c r="BZ186" s="7"/>
      <c r="CA186" s="7"/>
      <c r="CB186" s="7"/>
      <c r="CC186" s="7"/>
      <c r="CD186" s="7"/>
      <c r="CE186" s="7"/>
      <c r="CF186" s="7"/>
      <c r="CG186" s="7"/>
      <c r="CH186" s="7"/>
      <c r="CI186" s="7"/>
      <c r="CJ186" s="7"/>
      <c r="CK186" s="7"/>
      <c r="CL186" s="7"/>
      <c r="CM186" s="7"/>
      <c r="CN186" s="7"/>
      <c r="CO186" s="7"/>
      <c r="CP186" s="7"/>
      <c r="CQ186" s="7"/>
      <c r="CR186" s="7"/>
      <c r="CS186" s="7"/>
      <c r="CT186" s="7"/>
      <c r="CU186" s="7"/>
      <c r="CV186" s="7"/>
      <c r="CW186" s="7"/>
      <c r="CX186" s="7"/>
      <c r="CY186" s="7"/>
      <c r="CZ186" s="7"/>
      <c r="DA186" s="7"/>
      <c r="DB186" s="7"/>
      <c r="DC186" s="7"/>
      <c r="DD186" s="7"/>
      <c r="DE186" s="7"/>
      <c r="DF186" s="7"/>
      <c r="DG186" s="7"/>
      <c r="DH186" s="7"/>
      <c r="DI186" s="7"/>
      <c r="DJ186" s="7"/>
      <c r="DK186" s="7"/>
      <c r="DL186" s="7"/>
      <c r="DM186" s="7"/>
      <c r="DN186" s="7"/>
      <c r="DO186" s="7"/>
      <c r="DP186" s="7"/>
      <c r="DQ186" s="7"/>
      <c r="DR186" s="7"/>
      <c r="DS186" s="7"/>
      <c r="DT186" s="7"/>
      <c r="DU186" s="7"/>
      <c r="DV186" s="7"/>
      <c r="DW186" s="7"/>
      <c r="DX186" s="7"/>
      <c r="DY186" s="7"/>
      <c r="DZ186" s="7"/>
    </row>
    <row r="187" spans="1:130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  <c r="BX187" s="7"/>
      <c r="BY187" s="7"/>
      <c r="BZ187" s="7"/>
      <c r="CA187" s="7"/>
      <c r="CB187" s="7"/>
      <c r="CC187" s="7"/>
      <c r="CD187" s="7"/>
      <c r="CE187" s="7"/>
      <c r="CF187" s="7"/>
      <c r="CG187" s="7"/>
      <c r="CH187" s="7"/>
      <c r="CI187" s="7"/>
      <c r="CJ187" s="7"/>
      <c r="CK187" s="7"/>
      <c r="CL187" s="7"/>
      <c r="CM187" s="7"/>
      <c r="CN187" s="7"/>
      <c r="CO187" s="7"/>
      <c r="CP187" s="7"/>
      <c r="CQ187" s="7"/>
      <c r="CR187" s="7"/>
      <c r="CS187" s="7"/>
      <c r="CT187" s="7"/>
      <c r="CU187" s="7"/>
      <c r="CV187" s="7"/>
      <c r="CW187" s="7"/>
      <c r="CX187" s="7"/>
      <c r="CY187" s="7"/>
      <c r="CZ187" s="7"/>
      <c r="DA187" s="7"/>
      <c r="DB187" s="7"/>
      <c r="DC187" s="7"/>
      <c r="DD187" s="7"/>
      <c r="DE187" s="7"/>
      <c r="DF187" s="7"/>
      <c r="DG187" s="7"/>
      <c r="DH187" s="7"/>
      <c r="DI187" s="7"/>
      <c r="DJ187" s="7"/>
      <c r="DK187" s="7"/>
      <c r="DL187" s="7"/>
      <c r="DM187" s="7"/>
      <c r="DN187" s="7"/>
      <c r="DO187" s="7"/>
      <c r="DP187" s="7"/>
      <c r="DQ187" s="7"/>
      <c r="DR187" s="7"/>
      <c r="DS187" s="7"/>
      <c r="DT187" s="7"/>
      <c r="DU187" s="7"/>
      <c r="DV187" s="7"/>
      <c r="DW187" s="7"/>
      <c r="DX187" s="7"/>
      <c r="DY187" s="7"/>
      <c r="DZ187" s="7"/>
    </row>
    <row r="188" spans="1:130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  <c r="BY188" s="7"/>
      <c r="BZ188" s="7"/>
      <c r="CA188" s="7"/>
      <c r="CB188" s="7"/>
      <c r="CC188" s="7"/>
      <c r="CD188" s="7"/>
      <c r="CE188" s="7"/>
      <c r="CF188" s="7"/>
      <c r="CG188" s="7"/>
      <c r="CH188" s="7"/>
      <c r="CI188" s="7"/>
      <c r="CJ188" s="7"/>
      <c r="CK188" s="7"/>
      <c r="CL188" s="7"/>
      <c r="CM188" s="7"/>
      <c r="CN188" s="7"/>
      <c r="CO188" s="7"/>
      <c r="CP188" s="7"/>
      <c r="CQ188" s="7"/>
      <c r="CR188" s="7"/>
      <c r="CS188" s="7"/>
      <c r="CT188" s="7"/>
      <c r="CU188" s="7"/>
      <c r="CV188" s="7"/>
      <c r="CW188" s="7"/>
      <c r="CX188" s="7"/>
      <c r="CY188" s="7"/>
      <c r="CZ188" s="7"/>
      <c r="DA188" s="7"/>
      <c r="DB188" s="7"/>
      <c r="DC188" s="7"/>
      <c r="DD188" s="7"/>
      <c r="DE188" s="7"/>
      <c r="DF188" s="7"/>
      <c r="DG188" s="7"/>
      <c r="DH188" s="7"/>
      <c r="DI188" s="7"/>
      <c r="DJ188" s="7"/>
      <c r="DK188" s="7"/>
      <c r="DL188" s="7"/>
      <c r="DM188" s="7"/>
      <c r="DN188" s="7"/>
      <c r="DO188" s="7"/>
      <c r="DP188" s="7"/>
      <c r="DQ188" s="7"/>
      <c r="DR188" s="7"/>
      <c r="DS188" s="7"/>
      <c r="DT188" s="7"/>
      <c r="DU188" s="7"/>
      <c r="DV188" s="7"/>
      <c r="DW188" s="7"/>
      <c r="DX188" s="7"/>
      <c r="DY188" s="7"/>
      <c r="DZ188" s="7"/>
    </row>
    <row r="189" spans="1:130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  <c r="BX189" s="7"/>
      <c r="BY189" s="7"/>
      <c r="BZ189" s="7"/>
      <c r="CA189" s="7"/>
      <c r="CB189" s="7"/>
      <c r="CC189" s="7"/>
      <c r="CD189" s="7"/>
      <c r="CE189" s="7"/>
      <c r="CF189" s="7"/>
      <c r="CG189" s="7"/>
      <c r="CH189" s="7"/>
      <c r="CI189" s="7"/>
      <c r="CJ189" s="7"/>
      <c r="CK189" s="7"/>
      <c r="CL189" s="7"/>
      <c r="CM189" s="7"/>
      <c r="CN189" s="7"/>
      <c r="CO189" s="7"/>
      <c r="CP189" s="7"/>
      <c r="CQ189" s="7"/>
      <c r="CR189" s="7"/>
      <c r="CS189" s="7"/>
      <c r="CT189" s="7"/>
      <c r="CU189" s="7"/>
      <c r="CV189" s="7"/>
      <c r="CW189" s="7"/>
      <c r="CX189" s="7"/>
      <c r="CY189" s="7"/>
      <c r="CZ189" s="7"/>
      <c r="DA189" s="7"/>
      <c r="DB189" s="7"/>
      <c r="DC189" s="7"/>
      <c r="DD189" s="7"/>
      <c r="DE189" s="7"/>
      <c r="DF189" s="7"/>
      <c r="DG189" s="7"/>
      <c r="DH189" s="7"/>
      <c r="DI189" s="7"/>
      <c r="DJ189" s="7"/>
      <c r="DK189" s="7"/>
      <c r="DL189" s="7"/>
      <c r="DM189" s="7"/>
      <c r="DN189" s="7"/>
      <c r="DO189" s="7"/>
      <c r="DP189" s="7"/>
      <c r="DQ189" s="7"/>
      <c r="DR189" s="7"/>
      <c r="DS189" s="7"/>
      <c r="DT189" s="7"/>
      <c r="DU189" s="7"/>
      <c r="DV189" s="7"/>
      <c r="DW189" s="7"/>
      <c r="DX189" s="7"/>
      <c r="DY189" s="7"/>
      <c r="DZ189" s="7"/>
    </row>
    <row r="190" spans="1:13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  <c r="BY190" s="7"/>
      <c r="BZ190" s="7"/>
      <c r="CA190" s="7"/>
      <c r="CB190" s="7"/>
      <c r="CC190" s="7"/>
      <c r="CD190" s="7"/>
      <c r="CE190" s="7"/>
      <c r="CF190" s="7"/>
      <c r="CG190" s="7"/>
      <c r="CH190" s="7"/>
      <c r="CI190" s="7"/>
      <c r="CJ190" s="7"/>
      <c r="CK190" s="7"/>
      <c r="CL190" s="7"/>
      <c r="CM190" s="7"/>
      <c r="CN190" s="7"/>
      <c r="CO190" s="7"/>
      <c r="CP190" s="7"/>
      <c r="CQ190" s="7"/>
      <c r="CR190" s="7"/>
      <c r="CS190" s="7"/>
      <c r="CT190" s="7"/>
      <c r="CU190" s="7"/>
      <c r="CV190" s="7"/>
      <c r="CW190" s="7"/>
      <c r="CX190" s="7"/>
      <c r="CY190" s="7"/>
      <c r="CZ190" s="7"/>
      <c r="DA190" s="7"/>
      <c r="DB190" s="7"/>
      <c r="DC190" s="7"/>
      <c r="DD190" s="7"/>
      <c r="DE190" s="7"/>
      <c r="DF190" s="7"/>
      <c r="DG190" s="7"/>
      <c r="DH190" s="7"/>
      <c r="DI190" s="7"/>
      <c r="DJ190" s="7"/>
      <c r="DK190" s="7"/>
      <c r="DL190" s="7"/>
      <c r="DM190" s="7"/>
      <c r="DN190" s="7"/>
      <c r="DO190" s="7"/>
      <c r="DP190" s="7"/>
      <c r="DQ190" s="7"/>
      <c r="DR190" s="7"/>
      <c r="DS190" s="7"/>
      <c r="DT190" s="7"/>
      <c r="DU190" s="7"/>
      <c r="DV190" s="7"/>
      <c r="DW190" s="7"/>
      <c r="DX190" s="7"/>
      <c r="DY190" s="7"/>
      <c r="DZ190" s="7"/>
    </row>
    <row r="191" spans="1:130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  <c r="BX191" s="7"/>
      <c r="BY191" s="7"/>
      <c r="BZ191" s="7"/>
      <c r="CA191" s="7"/>
      <c r="CB191" s="7"/>
      <c r="CC191" s="7"/>
      <c r="CD191" s="7"/>
      <c r="CE191" s="7"/>
      <c r="CF191" s="7"/>
      <c r="CG191" s="7"/>
      <c r="CH191" s="7"/>
      <c r="CI191" s="7"/>
      <c r="CJ191" s="7"/>
      <c r="CK191" s="7"/>
      <c r="CL191" s="7"/>
      <c r="CM191" s="7"/>
      <c r="CN191" s="7"/>
      <c r="CO191" s="7"/>
      <c r="CP191" s="7"/>
      <c r="CQ191" s="7"/>
      <c r="CR191" s="7"/>
      <c r="CS191" s="7"/>
      <c r="CT191" s="7"/>
      <c r="CU191" s="7"/>
      <c r="CV191" s="7"/>
      <c r="CW191" s="7"/>
      <c r="CX191" s="7"/>
      <c r="CY191" s="7"/>
      <c r="CZ191" s="7"/>
      <c r="DA191" s="7"/>
      <c r="DB191" s="7"/>
      <c r="DC191" s="7"/>
      <c r="DD191" s="7"/>
      <c r="DE191" s="7"/>
      <c r="DF191" s="7"/>
      <c r="DG191" s="7"/>
      <c r="DH191" s="7"/>
      <c r="DI191" s="7"/>
      <c r="DJ191" s="7"/>
      <c r="DK191" s="7"/>
      <c r="DL191" s="7"/>
      <c r="DM191" s="7"/>
      <c r="DN191" s="7"/>
      <c r="DO191" s="7"/>
      <c r="DP191" s="7"/>
      <c r="DQ191" s="7"/>
      <c r="DR191" s="7"/>
      <c r="DS191" s="7"/>
      <c r="DT191" s="7"/>
      <c r="DU191" s="7"/>
      <c r="DV191" s="7"/>
      <c r="DW191" s="7"/>
      <c r="DX191" s="7"/>
      <c r="DY191" s="7"/>
      <c r="DZ191" s="7"/>
    </row>
    <row r="192" spans="1:130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  <c r="BW192" s="7"/>
      <c r="BX192" s="7"/>
      <c r="BY192" s="7"/>
      <c r="BZ192" s="7"/>
      <c r="CA192" s="7"/>
      <c r="CB192" s="7"/>
      <c r="CC192" s="7"/>
      <c r="CD192" s="7"/>
      <c r="CE192" s="7"/>
      <c r="CF192" s="7"/>
      <c r="CG192" s="7"/>
      <c r="CH192" s="7"/>
      <c r="CI192" s="7"/>
      <c r="CJ192" s="7"/>
      <c r="CK192" s="7"/>
      <c r="CL192" s="7"/>
      <c r="CM192" s="7"/>
      <c r="CN192" s="7"/>
      <c r="CO192" s="7"/>
      <c r="CP192" s="7"/>
      <c r="CQ192" s="7"/>
      <c r="CR192" s="7"/>
      <c r="CS192" s="7"/>
      <c r="CT192" s="7"/>
      <c r="CU192" s="7"/>
      <c r="CV192" s="7"/>
      <c r="CW192" s="7"/>
      <c r="CX192" s="7"/>
      <c r="CY192" s="7"/>
      <c r="CZ192" s="7"/>
      <c r="DA192" s="7"/>
      <c r="DB192" s="7"/>
      <c r="DC192" s="7"/>
      <c r="DD192" s="7"/>
      <c r="DE192" s="7"/>
      <c r="DF192" s="7"/>
      <c r="DG192" s="7"/>
      <c r="DH192" s="7"/>
      <c r="DI192" s="7"/>
      <c r="DJ192" s="7"/>
      <c r="DK192" s="7"/>
      <c r="DL192" s="7"/>
      <c r="DM192" s="7"/>
      <c r="DN192" s="7"/>
      <c r="DO192" s="7"/>
      <c r="DP192" s="7"/>
      <c r="DQ192" s="7"/>
      <c r="DR192" s="7"/>
      <c r="DS192" s="7"/>
      <c r="DT192" s="7"/>
      <c r="DU192" s="7"/>
      <c r="DV192" s="7"/>
      <c r="DW192" s="7"/>
      <c r="DX192" s="7"/>
      <c r="DY192" s="7"/>
      <c r="DZ192" s="7"/>
    </row>
    <row r="193" spans="1:130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  <c r="BV193" s="7"/>
      <c r="BW193" s="7"/>
      <c r="BX193" s="7"/>
      <c r="BY193" s="7"/>
      <c r="BZ193" s="7"/>
      <c r="CA193" s="7"/>
      <c r="CB193" s="7"/>
      <c r="CC193" s="7"/>
      <c r="CD193" s="7"/>
      <c r="CE193" s="7"/>
      <c r="CF193" s="7"/>
      <c r="CG193" s="7"/>
      <c r="CH193" s="7"/>
      <c r="CI193" s="7"/>
      <c r="CJ193" s="7"/>
      <c r="CK193" s="7"/>
      <c r="CL193" s="7"/>
      <c r="CM193" s="7"/>
      <c r="CN193" s="7"/>
      <c r="CO193" s="7"/>
      <c r="CP193" s="7"/>
      <c r="CQ193" s="7"/>
      <c r="CR193" s="7"/>
      <c r="CS193" s="7"/>
      <c r="CT193" s="7"/>
      <c r="CU193" s="7"/>
      <c r="CV193" s="7"/>
      <c r="CW193" s="7"/>
      <c r="CX193" s="7"/>
      <c r="CY193" s="7"/>
      <c r="CZ193" s="7"/>
      <c r="DA193" s="7"/>
      <c r="DB193" s="7"/>
      <c r="DC193" s="7"/>
      <c r="DD193" s="7"/>
      <c r="DE193" s="7"/>
      <c r="DF193" s="7"/>
      <c r="DG193" s="7"/>
      <c r="DH193" s="7"/>
      <c r="DI193" s="7"/>
      <c r="DJ193" s="7"/>
      <c r="DK193" s="7"/>
      <c r="DL193" s="7"/>
      <c r="DM193" s="7"/>
      <c r="DN193" s="7"/>
      <c r="DO193" s="7"/>
      <c r="DP193" s="7"/>
      <c r="DQ193" s="7"/>
      <c r="DR193" s="7"/>
      <c r="DS193" s="7"/>
      <c r="DT193" s="7"/>
      <c r="DU193" s="7"/>
      <c r="DV193" s="7"/>
      <c r="DW193" s="7"/>
      <c r="DX193" s="7"/>
      <c r="DY193" s="7"/>
      <c r="DZ193" s="7"/>
    </row>
    <row r="194" spans="1:130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7"/>
      <c r="BX194" s="7"/>
      <c r="BY194" s="7"/>
      <c r="BZ194" s="7"/>
      <c r="CA194" s="7"/>
      <c r="CB194" s="7"/>
      <c r="CC194" s="7"/>
      <c r="CD194" s="7"/>
      <c r="CE194" s="7"/>
      <c r="CF194" s="7"/>
      <c r="CG194" s="7"/>
      <c r="CH194" s="7"/>
      <c r="CI194" s="7"/>
      <c r="CJ194" s="7"/>
      <c r="CK194" s="7"/>
      <c r="CL194" s="7"/>
      <c r="CM194" s="7"/>
      <c r="CN194" s="7"/>
      <c r="CO194" s="7"/>
      <c r="CP194" s="7"/>
      <c r="CQ194" s="7"/>
      <c r="CR194" s="7"/>
      <c r="CS194" s="7"/>
      <c r="CT194" s="7"/>
      <c r="CU194" s="7"/>
      <c r="CV194" s="7"/>
      <c r="CW194" s="7"/>
      <c r="CX194" s="7"/>
      <c r="CY194" s="7"/>
      <c r="CZ194" s="7"/>
      <c r="DA194" s="7"/>
      <c r="DB194" s="7"/>
      <c r="DC194" s="7"/>
      <c r="DD194" s="7"/>
      <c r="DE194" s="7"/>
      <c r="DF194" s="7"/>
      <c r="DG194" s="7"/>
      <c r="DH194" s="7"/>
      <c r="DI194" s="7"/>
      <c r="DJ194" s="7"/>
      <c r="DK194" s="7"/>
      <c r="DL194" s="7"/>
      <c r="DM194" s="7"/>
      <c r="DN194" s="7"/>
      <c r="DO194" s="7"/>
      <c r="DP194" s="7"/>
      <c r="DQ194" s="7"/>
      <c r="DR194" s="7"/>
      <c r="DS194" s="7"/>
      <c r="DT194" s="7"/>
      <c r="DU194" s="7"/>
      <c r="DV194" s="7"/>
      <c r="DW194" s="7"/>
      <c r="DX194" s="7"/>
      <c r="DY194" s="7"/>
      <c r="DZ194" s="7"/>
    </row>
    <row r="195" spans="1:130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7"/>
      <c r="BR195" s="7"/>
      <c r="BS195" s="7"/>
      <c r="BT195" s="7"/>
      <c r="BU195" s="7"/>
      <c r="BV195" s="7"/>
      <c r="BW195" s="7"/>
      <c r="BX195" s="7"/>
      <c r="BY195" s="7"/>
      <c r="BZ195" s="7"/>
      <c r="CA195" s="7"/>
      <c r="CB195" s="7"/>
      <c r="CC195" s="7"/>
      <c r="CD195" s="7"/>
      <c r="CE195" s="7"/>
      <c r="CF195" s="7"/>
      <c r="CG195" s="7"/>
      <c r="CH195" s="7"/>
      <c r="CI195" s="7"/>
      <c r="CJ195" s="7"/>
      <c r="CK195" s="7"/>
      <c r="CL195" s="7"/>
      <c r="CM195" s="7"/>
      <c r="CN195" s="7"/>
      <c r="CO195" s="7"/>
      <c r="CP195" s="7"/>
      <c r="CQ195" s="7"/>
      <c r="CR195" s="7"/>
      <c r="CS195" s="7"/>
      <c r="CT195" s="7"/>
      <c r="CU195" s="7"/>
      <c r="CV195" s="7"/>
      <c r="CW195" s="7"/>
      <c r="CX195" s="7"/>
      <c r="CY195" s="7"/>
      <c r="CZ195" s="7"/>
      <c r="DA195" s="7"/>
      <c r="DB195" s="7"/>
      <c r="DC195" s="7"/>
      <c r="DD195" s="7"/>
      <c r="DE195" s="7"/>
      <c r="DF195" s="7"/>
      <c r="DG195" s="7"/>
      <c r="DH195" s="7"/>
      <c r="DI195" s="7"/>
      <c r="DJ195" s="7"/>
      <c r="DK195" s="7"/>
      <c r="DL195" s="7"/>
      <c r="DM195" s="7"/>
      <c r="DN195" s="7"/>
      <c r="DO195" s="7"/>
      <c r="DP195" s="7"/>
      <c r="DQ195" s="7"/>
      <c r="DR195" s="7"/>
      <c r="DS195" s="7"/>
      <c r="DT195" s="7"/>
      <c r="DU195" s="7"/>
      <c r="DV195" s="7"/>
      <c r="DW195" s="7"/>
      <c r="DX195" s="7"/>
      <c r="DY195" s="7"/>
      <c r="DZ195" s="7"/>
    </row>
    <row r="196" spans="1:130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  <c r="BW196" s="7"/>
      <c r="BX196" s="7"/>
      <c r="BY196" s="7"/>
      <c r="BZ196" s="7"/>
      <c r="CA196" s="7"/>
      <c r="CB196" s="7"/>
      <c r="CC196" s="7"/>
      <c r="CD196" s="7"/>
      <c r="CE196" s="7"/>
      <c r="CF196" s="7"/>
      <c r="CG196" s="7"/>
      <c r="CH196" s="7"/>
      <c r="CI196" s="7"/>
      <c r="CJ196" s="7"/>
      <c r="CK196" s="7"/>
      <c r="CL196" s="7"/>
      <c r="CM196" s="7"/>
      <c r="CN196" s="7"/>
      <c r="CO196" s="7"/>
      <c r="CP196" s="7"/>
      <c r="CQ196" s="7"/>
      <c r="CR196" s="7"/>
      <c r="CS196" s="7"/>
      <c r="CT196" s="7"/>
      <c r="CU196" s="7"/>
      <c r="CV196" s="7"/>
      <c r="CW196" s="7"/>
      <c r="CX196" s="7"/>
      <c r="CY196" s="7"/>
      <c r="CZ196" s="7"/>
      <c r="DA196" s="7"/>
      <c r="DB196" s="7"/>
      <c r="DC196" s="7"/>
      <c r="DD196" s="7"/>
      <c r="DE196" s="7"/>
      <c r="DF196" s="7"/>
      <c r="DG196" s="7"/>
      <c r="DH196" s="7"/>
      <c r="DI196" s="7"/>
      <c r="DJ196" s="7"/>
      <c r="DK196" s="7"/>
      <c r="DL196" s="7"/>
      <c r="DM196" s="7"/>
      <c r="DN196" s="7"/>
      <c r="DO196" s="7"/>
      <c r="DP196" s="7"/>
      <c r="DQ196" s="7"/>
      <c r="DR196" s="7"/>
      <c r="DS196" s="7"/>
      <c r="DT196" s="7"/>
      <c r="DU196" s="7"/>
      <c r="DV196" s="7"/>
      <c r="DW196" s="7"/>
      <c r="DX196" s="7"/>
      <c r="DY196" s="7"/>
      <c r="DZ196" s="7"/>
    </row>
    <row r="197" spans="1:130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  <c r="BW197" s="7"/>
      <c r="BX197" s="7"/>
      <c r="BY197" s="7"/>
      <c r="BZ197" s="7"/>
      <c r="CA197" s="7"/>
      <c r="CB197" s="7"/>
      <c r="CC197" s="7"/>
      <c r="CD197" s="7"/>
      <c r="CE197" s="7"/>
      <c r="CF197" s="7"/>
      <c r="CG197" s="7"/>
      <c r="CH197" s="7"/>
      <c r="CI197" s="7"/>
      <c r="CJ197" s="7"/>
      <c r="CK197" s="7"/>
      <c r="CL197" s="7"/>
      <c r="CM197" s="7"/>
      <c r="CN197" s="7"/>
      <c r="CO197" s="7"/>
      <c r="CP197" s="7"/>
      <c r="CQ197" s="7"/>
      <c r="CR197" s="7"/>
      <c r="CS197" s="7"/>
      <c r="CT197" s="7"/>
      <c r="CU197" s="7"/>
      <c r="CV197" s="7"/>
      <c r="CW197" s="7"/>
      <c r="CX197" s="7"/>
      <c r="CY197" s="7"/>
      <c r="CZ197" s="7"/>
      <c r="DA197" s="7"/>
      <c r="DB197" s="7"/>
      <c r="DC197" s="7"/>
      <c r="DD197" s="7"/>
      <c r="DE197" s="7"/>
      <c r="DF197" s="7"/>
      <c r="DG197" s="7"/>
      <c r="DH197" s="7"/>
      <c r="DI197" s="7"/>
      <c r="DJ197" s="7"/>
      <c r="DK197" s="7"/>
      <c r="DL197" s="7"/>
      <c r="DM197" s="7"/>
      <c r="DN197" s="7"/>
      <c r="DO197" s="7"/>
      <c r="DP197" s="7"/>
      <c r="DQ197" s="7"/>
      <c r="DR197" s="7"/>
      <c r="DS197" s="7"/>
      <c r="DT197" s="7"/>
      <c r="DU197" s="7"/>
      <c r="DV197" s="7"/>
      <c r="DW197" s="7"/>
      <c r="DX197" s="7"/>
      <c r="DY197" s="7"/>
      <c r="DZ197" s="7"/>
    </row>
    <row r="198" spans="1:130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7"/>
      <c r="BX198" s="7"/>
      <c r="BY198" s="7"/>
      <c r="BZ198" s="7"/>
      <c r="CA198" s="7"/>
      <c r="CB198" s="7"/>
      <c r="CC198" s="7"/>
      <c r="CD198" s="7"/>
      <c r="CE198" s="7"/>
      <c r="CF198" s="7"/>
      <c r="CG198" s="7"/>
      <c r="CH198" s="7"/>
      <c r="CI198" s="7"/>
      <c r="CJ198" s="7"/>
      <c r="CK198" s="7"/>
      <c r="CL198" s="7"/>
      <c r="CM198" s="7"/>
      <c r="CN198" s="7"/>
      <c r="CO198" s="7"/>
      <c r="CP198" s="7"/>
      <c r="CQ198" s="7"/>
      <c r="CR198" s="7"/>
      <c r="CS198" s="7"/>
      <c r="CT198" s="7"/>
      <c r="CU198" s="7"/>
      <c r="CV198" s="7"/>
      <c r="CW198" s="7"/>
      <c r="CX198" s="7"/>
      <c r="CY198" s="7"/>
      <c r="CZ198" s="7"/>
      <c r="DA198" s="7"/>
      <c r="DB198" s="7"/>
      <c r="DC198" s="7"/>
      <c r="DD198" s="7"/>
      <c r="DE198" s="7"/>
      <c r="DF198" s="7"/>
      <c r="DG198" s="7"/>
      <c r="DH198" s="7"/>
      <c r="DI198" s="7"/>
      <c r="DJ198" s="7"/>
      <c r="DK198" s="7"/>
      <c r="DL198" s="7"/>
      <c r="DM198" s="7"/>
      <c r="DN198" s="7"/>
      <c r="DO198" s="7"/>
      <c r="DP198" s="7"/>
      <c r="DQ198" s="7"/>
      <c r="DR198" s="7"/>
      <c r="DS198" s="7"/>
      <c r="DT198" s="7"/>
      <c r="DU198" s="7"/>
      <c r="DV198" s="7"/>
      <c r="DW198" s="7"/>
      <c r="DX198" s="7"/>
      <c r="DY198" s="7"/>
      <c r="DZ198" s="7"/>
    </row>
    <row r="199" spans="1:130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  <c r="BV199" s="7"/>
      <c r="BW199" s="7"/>
      <c r="BX199" s="7"/>
      <c r="BY199" s="7"/>
      <c r="BZ199" s="7"/>
      <c r="CA199" s="7"/>
      <c r="CB199" s="7"/>
      <c r="CC199" s="7"/>
      <c r="CD199" s="7"/>
      <c r="CE199" s="7"/>
      <c r="CF199" s="7"/>
      <c r="CG199" s="7"/>
      <c r="CH199" s="7"/>
      <c r="CI199" s="7"/>
      <c r="CJ199" s="7"/>
      <c r="CK199" s="7"/>
      <c r="CL199" s="7"/>
      <c r="CM199" s="7"/>
      <c r="CN199" s="7"/>
      <c r="CO199" s="7"/>
      <c r="CP199" s="7"/>
      <c r="CQ199" s="7"/>
      <c r="CR199" s="7"/>
      <c r="CS199" s="7"/>
      <c r="CT199" s="7"/>
      <c r="CU199" s="7"/>
      <c r="CV199" s="7"/>
      <c r="CW199" s="7"/>
      <c r="CX199" s="7"/>
      <c r="CY199" s="7"/>
      <c r="CZ199" s="7"/>
      <c r="DA199" s="7"/>
      <c r="DB199" s="7"/>
      <c r="DC199" s="7"/>
      <c r="DD199" s="7"/>
      <c r="DE199" s="7"/>
      <c r="DF199" s="7"/>
      <c r="DG199" s="7"/>
      <c r="DH199" s="7"/>
      <c r="DI199" s="7"/>
      <c r="DJ199" s="7"/>
      <c r="DK199" s="7"/>
      <c r="DL199" s="7"/>
      <c r="DM199" s="7"/>
      <c r="DN199" s="7"/>
      <c r="DO199" s="7"/>
      <c r="DP199" s="7"/>
      <c r="DQ199" s="7"/>
      <c r="DR199" s="7"/>
      <c r="DS199" s="7"/>
      <c r="DT199" s="7"/>
      <c r="DU199" s="7"/>
      <c r="DV199" s="7"/>
      <c r="DW199" s="7"/>
      <c r="DX199" s="7"/>
      <c r="DY199" s="7"/>
      <c r="DZ199" s="7"/>
    </row>
    <row r="200" spans="1:13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  <c r="BW200" s="7"/>
      <c r="BX200" s="7"/>
      <c r="BY200" s="7"/>
      <c r="BZ200" s="7"/>
      <c r="CA200" s="7"/>
      <c r="CB200" s="7"/>
      <c r="CC200" s="7"/>
      <c r="CD200" s="7"/>
      <c r="CE200" s="7"/>
      <c r="CF200" s="7"/>
      <c r="CG200" s="7"/>
      <c r="CH200" s="7"/>
      <c r="CI200" s="7"/>
      <c r="CJ200" s="7"/>
      <c r="CK200" s="7"/>
      <c r="CL200" s="7"/>
      <c r="CM200" s="7"/>
      <c r="CN200" s="7"/>
      <c r="CO200" s="7"/>
      <c r="CP200" s="7"/>
      <c r="CQ200" s="7"/>
      <c r="CR200" s="7"/>
      <c r="CS200" s="7"/>
      <c r="CT200" s="7"/>
      <c r="CU200" s="7"/>
      <c r="CV200" s="7"/>
      <c r="CW200" s="7"/>
      <c r="CX200" s="7"/>
      <c r="CY200" s="7"/>
      <c r="CZ200" s="7"/>
      <c r="DA200" s="7"/>
      <c r="DB200" s="7"/>
      <c r="DC200" s="7"/>
      <c r="DD200" s="7"/>
      <c r="DE200" s="7"/>
      <c r="DF200" s="7"/>
      <c r="DG200" s="7"/>
      <c r="DH200" s="7"/>
      <c r="DI200" s="7"/>
      <c r="DJ200" s="7"/>
      <c r="DK200" s="7"/>
      <c r="DL200" s="7"/>
      <c r="DM200" s="7"/>
      <c r="DN200" s="7"/>
      <c r="DO200" s="7"/>
      <c r="DP200" s="7"/>
      <c r="DQ200" s="7"/>
      <c r="DR200" s="7"/>
      <c r="DS200" s="7"/>
      <c r="DT200" s="7"/>
      <c r="DU200" s="7"/>
      <c r="DV200" s="7"/>
      <c r="DW200" s="7"/>
      <c r="DX200" s="7"/>
      <c r="DY200" s="7"/>
      <c r="DZ200" s="7"/>
    </row>
    <row r="201" spans="1:130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7"/>
      <c r="BT201" s="7"/>
      <c r="BU201" s="7"/>
      <c r="BV201" s="7"/>
      <c r="BW201" s="7"/>
      <c r="BX201" s="7"/>
      <c r="BY201" s="7"/>
      <c r="BZ201" s="7"/>
      <c r="CA201" s="7"/>
      <c r="CB201" s="7"/>
      <c r="CC201" s="7"/>
      <c r="CD201" s="7"/>
      <c r="CE201" s="7"/>
      <c r="CF201" s="7"/>
      <c r="CG201" s="7"/>
      <c r="CH201" s="7"/>
      <c r="CI201" s="7"/>
      <c r="CJ201" s="7"/>
      <c r="CK201" s="7"/>
      <c r="CL201" s="7"/>
      <c r="CM201" s="7"/>
      <c r="CN201" s="7"/>
      <c r="CO201" s="7"/>
      <c r="CP201" s="7"/>
      <c r="CQ201" s="7"/>
      <c r="CR201" s="7"/>
      <c r="CS201" s="7"/>
      <c r="CT201" s="7"/>
      <c r="CU201" s="7"/>
      <c r="CV201" s="7"/>
      <c r="CW201" s="7"/>
      <c r="CX201" s="7"/>
      <c r="CY201" s="7"/>
      <c r="CZ201" s="7"/>
      <c r="DA201" s="7"/>
      <c r="DB201" s="7"/>
      <c r="DC201" s="7"/>
      <c r="DD201" s="7"/>
      <c r="DE201" s="7"/>
      <c r="DF201" s="7"/>
      <c r="DG201" s="7"/>
      <c r="DH201" s="7"/>
      <c r="DI201" s="7"/>
      <c r="DJ201" s="7"/>
      <c r="DK201" s="7"/>
      <c r="DL201" s="7"/>
      <c r="DM201" s="7"/>
      <c r="DN201" s="7"/>
      <c r="DO201" s="7"/>
      <c r="DP201" s="7"/>
      <c r="DQ201" s="7"/>
      <c r="DR201" s="7"/>
      <c r="DS201" s="7"/>
      <c r="DT201" s="7"/>
      <c r="DU201" s="7"/>
      <c r="DV201" s="7"/>
      <c r="DW201" s="7"/>
      <c r="DX201" s="7"/>
      <c r="DY201" s="7"/>
      <c r="DZ201" s="7"/>
    </row>
    <row r="202" spans="1:130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  <c r="BV202" s="7"/>
      <c r="BW202" s="7"/>
      <c r="BX202" s="7"/>
      <c r="BY202" s="7"/>
      <c r="BZ202" s="7"/>
      <c r="CA202" s="7"/>
      <c r="CB202" s="7"/>
      <c r="CC202" s="7"/>
      <c r="CD202" s="7"/>
      <c r="CE202" s="7"/>
      <c r="CF202" s="7"/>
      <c r="CG202" s="7"/>
      <c r="CH202" s="7"/>
      <c r="CI202" s="7"/>
      <c r="CJ202" s="7"/>
      <c r="CK202" s="7"/>
      <c r="CL202" s="7"/>
      <c r="CM202" s="7"/>
      <c r="CN202" s="7"/>
      <c r="CO202" s="7"/>
      <c r="CP202" s="7"/>
      <c r="CQ202" s="7"/>
      <c r="CR202" s="7"/>
      <c r="CS202" s="7"/>
      <c r="CT202" s="7"/>
      <c r="CU202" s="7"/>
      <c r="CV202" s="7"/>
      <c r="CW202" s="7"/>
      <c r="CX202" s="7"/>
      <c r="CY202" s="7"/>
      <c r="CZ202" s="7"/>
      <c r="DA202" s="7"/>
      <c r="DB202" s="7"/>
      <c r="DC202" s="7"/>
      <c r="DD202" s="7"/>
      <c r="DE202" s="7"/>
      <c r="DF202" s="7"/>
      <c r="DG202" s="7"/>
      <c r="DH202" s="7"/>
      <c r="DI202" s="7"/>
      <c r="DJ202" s="7"/>
      <c r="DK202" s="7"/>
      <c r="DL202" s="7"/>
      <c r="DM202" s="7"/>
      <c r="DN202" s="7"/>
      <c r="DO202" s="7"/>
      <c r="DP202" s="7"/>
      <c r="DQ202" s="7"/>
      <c r="DR202" s="7"/>
      <c r="DS202" s="7"/>
      <c r="DT202" s="7"/>
      <c r="DU202" s="7"/>
      <c r="DV202" s="7"/>
      <c r="DW202" s="7"/>
      <c r="DX202" s="7"/>
      <c r="DY202" s="7"/>
      <c r="DZ202" s="7"/>
    </row>
    <row r="203" spans="1:130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7"/>
      <c r="BP203" s="7"/>
      <c r="BQ203" s="7"/>
      <c r="BR203" s="7"/>
      <c r="BS203" s="7"/>
      <c r="BT203" s="7"/>
      <c r="BU203" s="7"/>
      <c r="BV203" s="7"/>
      <c r="BW203" s="7"/>
      <c r="BX203" s="7"/>
      <c r="BY203" s="7"/>
      <c r="BZ203" s="7"/>
      <c r="CA203" s="7"/>
      <c r="CB203" s="7"/>
      <c r="CC203" s="7"/>
      <c r="CD203" s="7"/>
      <c r="CE203" s="7"/>
      <c r="CF203" s="7"/>
      <c r="CG203" s="7"/>
      <c r="CH203" s="7"/>
      <c r="CI203" s="7"/>
      <c r="CJ203" s="7"/>
      <c r="CK203" s="7"/>
      <c r="CL203" s="7"/>
      <c r="CM203" s="7"/>
      <c r="CN203" s="7"/>
      <c r="CO203" s="7"/>
      <c r="CP203" s="7"/>
      <c r="CQ203" s="7"/>
      <c r="CR203" s="7"/>
      <c r="CS203" s="7"/>
      <c r="CT203" s="7"/>
      <c r="CU203" s="7"/>
      <c r="CV203" s="7"/>
      <c r="CW203" s="7"/>
      <c r="CX203" s="7"/>
      <c r="CY203" s="7"/>
      <c r="CZ203" s="7"/>
      <c r="DA203" s="7"/>
      <c r="DB203" s="7"/>
      <c r="DC203" s="7"/>
      <c r="DD203" s="7"/>
      <c r="DE203" s="7"/>
      <c r="DF203" s="7"/>
      <c r="DG203" s="7"/>
      <c r="DH203" s="7"/>
      <c r="DI203" s="7"/>
      <c r="DJ203" s="7"/>
      <c r="DK203" s="7"/>
      <c r="DL203" s="7"/>
      <c r="DM203" s="7"/>
      <c r="DN203" s="7"/>
      <c r="DO203" s="7"/>
      <c r="DP203" s="7"/>
      <c r="DQ203" s="7"/>
      <c r="DR203" s="7"/>
      <c r="DS203" s="7"/>
      <c r="DT203" s="7"/>
      <c r="DU203" s="7"/>
      <c r="DV203" s="7"/>
      <c r="DW203" s="7"/>
      <c r="DX203" s="7"/>
      <c r="DY203" s="7"/>
      <c r="DZ203" s="7"/>
    </row>
    <row r="204" spans="1:130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7"/>
      <c r="BX204" s="7"/>
      <c r="BY204" s="7"/>
      <c r="BZ204" s="7"/>
      <c r="CA204" s="7"/>
      <c r="CB204" s="7"/>
      <c r="CC204" s="7"/>
      <c r="CD204" s="7"/>
      <c r="CE204" s="7"/>
      <c r="CF204" s="7"/>
      <c r="CG204" s="7"/>
      <c r="CH204" s="7"/>
      <c r="CI204" s="7"/>
      <c r="CJ204" s="7"/>
      <c r="CK204" s="7"/>
      <c r="CL204" s="7"/>
      <c r="CM204" s="7"/>
      <c r="CN204" s="7"/>
      <c r="CO204" s="7"/>
      <c r="CP204" s="7"/>
      <c r="CQ204" s="7"/>
      <c r="CR204" s="7"/>
      <c r="CS204" s="7"/>
      <c r="CT204" s="7"/>
      <c r="CU204" s="7"/>
      <c r="CV204" s="7"/>
      <c r="CW204" s="7"/>
      <c r="CX204" s="7"/>
      <c r="CY204" s="7"/>
      <c r="CZ204" s="7"/>
      <c r="DA204" s="7"/>
      <c r="DB204" s="7"/>
      <c r="DC204" s="7"/>
      <c r="DD204" s="7"/>
      <c r="DE204" s="7"/>
      <c r="DF204" s="7"/>
      <c r="DG204" s="7"/>
      <c r="DH204" s="7"/>
      <c r="DI204" s="7"/>
      <c r="DJ204" s="7"/>
      <c r="DK204" s="7"/>
      <c r="DL204" s="7"/>
      <c r="DM204" s="7"/>
      <c r="DN204" s="7"/>
      <c r="DO204" s="7"/>
      <c r="DP204" s="7"/>
      <c r="DQ204" s="7"/>
      <c r="DR204" s="7"/>
      <c r="DS204" s="7"/>
      <c r="DT204" s="7"/>
      <c r="DU204" s="7"/>
      <c r="DV204" s="7"/>
      <c r="DW204" s="7"/>
      <c r="DX204" s="7"/>
      <c r="DY204" s="7"/>
      <c r="DZ204" s="7"/>
    </row>
    <row r="205" spans="1:130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7"/>
      <c r="BT205" s="7"/>
      <c r="BU205" s="7"/>
      <c r="BV205" s="7"/>
      <c r="BW205" s="7"/>
      <c r="BX205" s="7"/>
      <c r="BY205" s="7"/>
      <c r="BZ205" s="7"/>
      <c r="CA205" s="7"/>
      <c r="CB205" s="7"/>
      <c r="CC205" s="7"/>
      <c r="CD205" s="7"/>
      <c r="CE205" s="7"/>
      <c r="CF205" s="7"/>
      <c r="CG205" s="7"/>
      <c r="CH205" s="7"/>
      <c r="CI205" s="7"/>
      <c r="CJ205" s="7"/>
      <c r="CK205" s="7"/>
      <c r="CL205" s="7"/>
      <c r="CM205" s="7"/>
      <c r="CN205" s="7"/>
      <c r="CO205" s="7"/>
      <c r="CP205" s="7"/>
      <c r="CQ205" s="7"/>
      <c r="CR205" s="7"/>
      <c r="CS205" s="7"/>
      <c r="CT205" s="7"/>
      <c r="CU205" s="7"/>
      <c r="CV205" s="7"/>
      <c r="CW205" s="7"/>
      <c r="CX205" s="7"/>
      <c r="CY205" s="7"/>
      <c r="CZ205" s="7"/>
      <c r="DA205" s="7"/>
      <c r="DB205" s="7"/>
      <c r="DC205" s="7"/>
      <c r="DD205" s="7"/>
      <c r="DE205" s="7"/>
      <c r="DF205" s="7"/>
      <c r="DG205" s="7"/>
      <c r="DH205" s="7"/>
      <c r="DI205" s="7"/>
      <c r="DJ205" s="7"/>
      <c r="DK205" s="7"/>
      <c r="DL205" s="7"/>
      <c r="DM205" s="7"/>
      <c r="DN205" s="7"/>
      <c r="DO205" s="7"/>
      <c r="DP205" s="7"/>
      <c r="DQ205" s="7"/>
      <c r="DR205" s="7"/>
      <c r="DS205" s="7"/>
      <c r="DT205" s="7"/>
      <c r="DU205" s="7"/>
      <c r="DV205" s="7"/>
      <c r="DW205" s="7"/>
      <c r="DX205" s="7"/>
      <c r="DY205" s="7"/>
      <c r="DZ205" s="7"/>
    </row>
    <row r="206" spans="1:130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  <c r="BV206" s="7"/>
      <c r="BW206" s="7"/>
      <c r="BX206" s="7"/>
      <c r="BY206" s="7"/>
      <c r="BZ206" s="7"/>
      <c r="CA206" s="7"/>
      <c r="CB206" s="7"/>
      <c r="CC206" s="7"/>
      <c r="CD206" s="7"/>
      <c r="CE206" s="7"/>
      <c r="CF206" s="7"/>
      <c r="CG206" s="7"/>
      <c r="CH206" s="7"/>
      <c r="CI206" s="7"/>
      <c r="CJ206" s="7"/>
      <c r="CK206" s="7"/>
      <c r="CL206" s="7"/>
      <c r="CM206" s="7"/>
      <c r="CN206" s="7"/>
      <c r="CO206" s="7"/>
      <c r="CP206" s="7"/>
      <c r="CQ206" s="7"/>
      <c r="CR206" s="7"/>
      <c r="CS206" s="7"/>
      <c r="CT206" s="7"/>
      <c r="CU206" s="7"/>
      <c r="CV206" s="7"/>
      <c r="CW206" s="7"/>
      <c r="CX206" s="7"/>
      <c r="CY206" s="7"/>
      <c r="CZ206" s="7"/>
      <c r="DA206" s="7"/>
      <c r="DB206" s="7"/>
      <c r="DC206" s="7"/>
      <c r="DD206" s="7"/>
      <c r="DE206" s="7"/>
      <c r="DF206" s="7"/>
      <c r="DG206" s="7"/>
      <c r="DH206" s="7"/>
      <c r="DI206" s="7"/>
      <c r="DJ206" s="7"/>
      <c r="DK206" s="7"/>
      <c r="DL206" s="7"/>
      <c r="DM206" s="7"/>
      <c r="DN206" s="7"/>
      <c r="DO206" s="7"/>
      <c r="DP206" s="7"/>
      <c r="DQ206" s="7"/>
      <c r="DR206" s="7"/>
      <c r="DS206" s="7"/>
      <c r="DT206" s="7"/>
      <c r="DU206" s="7"/>
      <c r="DV206" s="7"/>
      <c r="DW206" s="7"/>
      <c r="DX206" s="7"/>
      <c r="DY206" s="7"/>
      <c r="DZ206" s="7"/>
    </row>
    <row r="207" spans="1:130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/>
      <c r="BP207" s="7"/>
      <c r="BQ207" s="7"/>
      <c r="BR207" s="7"/>
      <c r="BS207" s="7"/>
      <c r="BT207" s="7"/>
      <c r="BU207" s="7"/>
      <c r="BV207" s="7"/>
      <c r="BW207" s="7"/>
      <c r="BX207" s="7"/>
      <c r="BY207" s="7"/>
      <c r="BZ207" s="7"/>
      <c r="CA207" s="7"/>
      <c r="CB207" s="7"/>
      <c r="CC207" s="7"/>
      <c r="CD207" s="7"/>
      <c r="CE207" s="7"/>
      <c r="CF207" s="7"/>
      <c r="CG207" s="7"/>
      <c r="CH207" s="7"/>
      <c r="CI207" s="7"/>
      <c r="CJ207" s="7"/>
      <c r="CK207" s="7"/>
      <c r="CL207" s="7"/>
      <c r="CM207" s="7"/>
      <c r="CN207" s="7"/>
      <c r="CO207" s="7"/>
      <c r="CP207" s="7"/>
      <c r="CQ207" s="7"/>
      <c r="CR207" s="7"/>
      <c r="CS207" s="7"/>
      <c r="CT207" s="7"/>
      <c r="CU207" s="7"/>
      <c r="CV207" s="7"/>
      <c r="CW207" s="7"/>
      <c r="CX207" s="7"/>
      <c r="CY207" s="7"/>
      <c r="CZ207" s="7"/>
      <c r="DA207" s="7"/>
      <c r="DB207" s="7"/>
      <c r="DC207" s="7"/>
      <c r="DD207" s="7"/>
      <c r="DE207" s="7"/>
      <c r="DF207" s="7"/>
      <c r="DG207" s="7"/>
      <c r="DH207" s="7"/>
      <c r="DI207" s="7"/>
      <c r="DJ207" s="7"/>
      <c r="DK207" s="7"/>
      <c r="DL207" s="7"/>
      <c r="DM207" s="7"/>
      <c r="DN207" s="7"/>
      <c r="DO207" s="7"/>
      <c r="DP207" s="7"/>
      <c r="DQ207" s="7"/>
      <c r="DR207" s="7"/>
      <c r="DS207" s="7"/>
      <c r="DT207" s="7"/>
      <c r="DU207" s="7"/>
      <c r="DV207" s="7"/>
      <c r="DW207" s="7"/>
      <c r="DX207" s="7"/>
      <c r="DY207" s="7"/>
      <c r="DZ207" s="7"/>
    </row>
    <row r="208" spans="1:130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/>
      <c r="BP208" s="7"/>
      <c r="BQ208" s="7"/>
      <c r="BR208" s="7"/>
      <c r="BS208" s="7"/>
      <c r="BT208" s="7"/>
      <c r="BU208" s="7"/>
      <c r="BV208" s="7"/>
      <c r="BW208" s="7"/>
      <c r="BX208" s="7"/>
      <c r="BY208" s="7"/>
      <c r="BZ208" s="7"/>
      <c r="CA208" s="7"/>
      <c r="CB208" s="7"/>
      <c r="CC208" s="7"/>
      <c r="CD208" s="7"/>
      <c r="CE208" s="7"/>
      <c r="CF208" s="7"/>
      <c r="CG208" s="7"/>
      <c r="CH208" s="7"/>
      <c r="CI208" s="7"/>
      <c r="CJ208" s="7"/>
      <c r="CK208" s="7"/>
      <c r="CL208" s="7"/>
      <c r="CM208" s="7"/>
      <c r="CN208" s="7"/>
      <c r="CO208" s="7"/>
      <c r="CP208" s="7"/>
      <c r="CQ208" s="7"/>
      <c r="CR208" s="7"/>
      <c r="CS208" s="7"/>
      <c r="CT208" s="7"/>
      <c r="CU208" s="7"/>
      <c r="CV208" s="7"/>
      <c r="CW208" s="7"/>
      <c r="CX208" s="7"/>
      <c r="CY208" s="7"/>
      <c r="CZ208" s="7"/>
      <c r="DA208" s="7"/>
      <c r="DB208" s="7"/>
      <c r="DC208" s="7"/>
      <c r="DD208" s="7"/>
      <c r="DE208" s="7"/>
      <c r="DF208" s="7"/>
      <c r="DG208" s="7"/>
      <c r="DH208" s="7"/>
      <c r="DI208" s="7"/>
      <c r="DJ208" s="7"/>
      <c r="DK208" s="7"/>
      <c r="DL208" s="7"/>
      <c r="DM208" s="7"/>
      <c r="DN208" s="7"/>
      <c r="DO208" s="7"/>
      <c r="DP208" s="7"/>
      <c r="DQ208" s="7"/>
      <c r="DR208" s="7"/>
      <c r="DS208" s="7"/>
      <c r="DT208" s="7"/>
      <c r="DU208" s="7"/>
      <c r="DV208" s="7"/>
      <c r="DW208" s="7"/>
      <c r="DX208" s="7"/>
      <c r="DY208" s="7"/>
      <c r="DZ208" s="7"/>
    </row>
    <row r="209" spans="1:130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7"/>
      <c r="BO209" s="7"/>
      <c r="BP209" s="7"/>
      <c r="BQ209" s="7"/>
      <c r="BR209" s="7"/>
      <c r="BS209" s="7"/>
      <c r="BT209" s="7"/>
      <c r="BU209" s="7"/>
      <c r="BV209" s="7"/>
      <c r="BW209" s="7"/>
      <c r="BX209" s="7"/>
      <c r="BY209" s="7"/>
      <c r="BZ209" s="7"/>
      <c r="CA209" s="7"/>
      <c r="CB209" s="7"/>
      <c r="CC209" s="7"/>
      <c r="CD209" s="7"/>
      <c r="CE209" s="7"/>
      <c r="CF209" s="7"/>
      <c r="CG209" s="7"/>
      <c r="CH209" s="7"/>
      <c r="CI209" s="7"/>
      <c r="CJ209" s="7"/>
      <c r="CK209" s="7"/>
      <c r="CL209" s="7"/>
      <c r="CM209" s="7"/>
      <c r="CN209" s="7"/>
      <c r="CO209" s="7"/>
      <c r="CP209" s="7"/>
      <c r="CQ209" s="7"/>
      <c r="CR209" s="7"/>
      <c r="CS209" s="7"/>
      <c r="CT209" s="7"/>
      <c r="CU209" s="7"/>
      <c r="CV209" s="7"/>
      <c r="CW209" s="7"/>
      <c r="CX209" s="7"/>
      <c r="CY209" s="7"/>
      <c r="CZ209" s="7"/>
      <c r="DA209" s="7"/>
      <c r="DB209" s="7"/>
      <c r="DC209" s="7"/>
      <c r="DD209" s="7"/>
      <c r="DE209" s="7"/>
      <c r="DF209" s="7"/>
      <c r="DG209" s="7"/>
      <c r="DH209" s="7"/>
      <c r="DI209" s="7"/>
      <c r="DJ209" s="7"/>
      <c r="DK209" s="7"/>
      <c r="DL209" s="7"/>
      <c r="DM209" s="7"/>
      <c r="DN209" s="7"/>
      <c r="DO209" s="7"/>
      <c r="DP209" s="7"/>
      <c r="DQ209" s="7"/>
      <c r="DR209" s="7"/>
      <c r="DS209" s="7"/>
      <c r="DT209" s="7"/>
      <c r="DU209" s="7"/>
      <c r="DV209" s="7"/>
      <c r="DW209" s="7"/>
      <c r="DX209" s="7"/>
      <c r="DY209" s="7"/>
      <c r="DZ209" s="7"/>
    </row>
    <row r="210" spans="1:13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  <c r="BO210" s="7"/>
      <c r="BP210" s="7"/>
      <c r="BQ210" s="7"/>
      <c r="BR210" s="7"/>
      <c r="BS210" s="7"/>
      <c r="BT210" s="7"/>
      <c r="BU210" s="7"/>
      <c r="BV210" s="7"/>
      <c r="BW210" s="7"/>
      <c r="BX210" s="7"/>
      <c r="BY210" s="7"/>
      <c r="BZ210" s="7"/>
      <c r="CA210" s="7"/>
      <c r="CB210" s="7"/>
      <c r="CC210" s="7"/>
      <c r="CD210" s="7"/>
      <c r="CE210" s="7"/>
      <c r="CF210" s="7"/>
      <c r="CG210" s="7"/>
      <c r="CH210" s="7"/>
      <c r="CI210" s="7"/>
      <c r="CJ210" s="7"/>
      <c r="CK210" s="7"/>
      <c r="CL210" s="7"/>
      <c r="CM210" s="7"/>
      <c r="CN210" s="7"/>
      <c r="CO210" s="7"/>
      <c r="CP210" s="7"/>
      <c r="CQ210" s="7"/>
      <c r="CR210" s="7"/>
      <c r="CS210" s="7"/>
      <c r="CT210" s="7"/>
      <c r="CU210" s="7"/>
      <c r="CV210" s="7"/>
      <c r="CW210" s="7"/>
      <c r="CX210" s="7"/>
      <c r="CY210" s="7"/>
      <c r="CZ210" s="7"/>
      <c r="DA210" s="7"/>
      <c r="DB210" s="7"/>
      <c r="DC210" s="7"/>
      <c r="DD210" s="7"/>
      <c r="DE210" s="7"/>
      <c r="DF210" s="7"/>
      <c r="DG210" s="7"/>
      <c r="DH210" s="7"/>
      <c r="DI210" s="7"/>
      <c r="DJ210" s="7"/>
      <c r="DK210" s="7"/>
      <c r="DL210" s="7"/>
      <c r="DM210" s="7"/>
      <c r="DN210" s="7"/>
      <c r="DO210" s="7"/>
      <c r="DP210" s="7"/>
      <c r="DQ210" s="7"/>
      <c r="DR210" s="7"/>
      <c r="DS210" s="7"/>
      <c r="DT210" s="7"/>
      <c r="DU210" s="7"/>
      <c r="DV210" s="7"/>
      <c r="DW210" s="7"/>
      <c r="DX210" s="7"/>
      <c r="DY210" s="7"/>
      <c r="DZ210" s="7"/>
    </row>
    <row r="211" spans="1:130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/>
      <c r="BO211" s="7"/>
      <c r="BP211" s="7"/>
      <c r="BQ211" s="7"/>
      <c r="BR211" s="7"/>
      <c r="BS211" s="7"/>
      <c r="BT211" s="7"/>
      <c r="BU211" s="7"/>
      <c r="BV211" s="7"/>
      <c r="BW211" s="7"/>
      <c r="BX211" s="7"/>
      <c r="BY211" s="7"/>
      <c r="BZ211" s="7"/>
      <c r="CA211" s="7"/>
      <c r="CB211" s="7"/>
      <c r="CC211" s="7"/>
      <c r="CD211" s="7"/>
      <c r="CE211" s="7"/>
      <c r="CF211" s="7"/>
      <c r="CG211" s="7"/>
      <c r="CH211" s="7"/>
      <c r="CI211" s="7"/>
      <c r="CJ211" s="7"/>
      <c r="CK211" s="7"/>
      <c r="CL211" s="7"/>
      <c r="CM211" s="7"/>
      <c r="CN211" s="7"/>
      <c r="CO211" s="7"/>
      <c r="CP211" s="7"/>
      <c r="CQ211" s="7"/>
      <c r="CR211" s="7"/>
      <c r="CS211" s="7"/>
      <c r="CT211" s="7"/>
      <c r="CU211" s="7"/>
      <c r="CV211" s="7"/>
      <c r="CW211" s="7"/>
      <c r="CX211" s="7"/>
      <c r="CY211" s="7"/>
      <c r="CZ211" s="7"/>
      <c r="DA211" s="7"/>
      <c r="DB211" s="7"/>
      <c r="DC211" s="7"/>
      <c r="DD211" s="7"/>
      <c r="DE211" s="7"/>
      <c r="DF211" s="7"/>
      <c r="DG211" s="7"/>
      <c r="DH211" s="7"/>
      <c r="DI211" s="7"/>
      <c r="DJ211" s="7"/>
      <c r="DK211" s="7"/>
      <c r="DL211" s="7"/>
      <c r="DM211" s="7"/>
      <c r="DN211" s="7"/>
      <c r="DO211" s="7"/>
      <c r="DP211" s="7"/>
      <c r="DQ211" s="7"/>
      <c r="DR211" s="7"/>
      <c r="DS211" s="7"/>
      <c r="DT211" s="7"/>
      <c r="DU211" s="7"/>
      <c r="DV211" s="7"/>
      <c r="DW211" s="7"/>
      <c r="DX211" s="7"/>
      <c r="DY211" s="7"/>
      <c r="DZ211" s="7"/>
    </row>
    <row r="212" spans="1:130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7"/>
      <c r="BP212" s="7"/>
      <c r="BQ212" s="7"/>
      <c r="BR212" s="7"/>
      <c r="BS212" s="7"/>
      <c r="BT212" s="7"/>
      <c r="BU212" s="7"/>
      <c r="BV212" s="7"/>
      <c r="BW212" s="7"/>
      <c r="BX212" s="7"/>
      <c r="BY212" s="7"/>
      <c r="BZ212" s="7"/>
      <c r="CA212" s="7"/>
      <c r="CB212" s="7"/>
      <c r="CC212" s="7"/>
      <c r="CD212" s="7"/>
      <c r="CE212" s="7"/>
      <c r="CF212" s="7"/>
      <c r="CG212" s="7"/>
      <c r="CH212" s="7"/>
      <c r="CI212" s="7"/>
      <c r="CJ212" s="7"/>
      <c r="CK212" s="7"/>
      <c r="CL212" s="7"/>
      <c r="CM212" s="7"/>
      <c r="CN212" s="7"/>
      <c r="CO212" s="7"/>
      <c r="CP212" s="7"/>
      <c r="CQ212" s="7"/>
      <c r="CR212" s="7"/>
      <c r="CS212" s="7"/>
      <c r="CT212" s="7"/>
      <c r="CU212" s="7"/>
      <c r="CV212" s="7"/>
      <c r="CW212" s="7"/>
      <c r="CX212" s="7"/>
      <c r="CY212" s="7"/>
      <c r="CZ212" s="7"/>
      <c r="DA212" s="7"/>
      <c r="DB212" s="7"/>
      <c r="DC212" s="7"/>
      <c r="DD212" s="7"/>
      <c r="DE212" s="7"/>
      <c r="DF212" s="7"/>
      <c r="DG212" s="7"/>
      <c r="DH212" s="7"/>
      <c r="DI212" s="7"/>
      <c r="DJ212" s="7"/>
      <c r="DK212" s="7"/>
      <c r="DL212" s="7"/>
      <c r="DM212" s="7"/>
      <c r="DN212" s="7"/>
      <c r="DO212" s="7"/>
      <c r="DP212" s="7"/>
      <c r="DQ212" s="7"/>
      <c r="DR212" s="7"/>
      <c r="DS212" s="7"/>
      <c r="DT212" s="7"/>
      <c r="DU212" s="7"/>
      <c r="DV212" s="7"/>
      <c r="DW212" s="7"/>
      <c r="DX212" s="7"/>
      <c r="DY212" s="7"/>
      <c r="DZ212" s="7"/>
    </row>
    <row r="213" spans="1:130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7"/>
      <c r="BN213" s="7"/>
      <c r="BO213" s="7"/>
      <c r="BP213" s="7"/>
      <c r="BQ213" s="7"/>
      <c r="BR213" s="7"/>
      <c r="BS213" s="7"/>
      <c r="BT213" s="7"/>
      <c r="BU213" s="7"/>
      <c r="BV213" s="7"/>
      <c r="BW213" s="7"/>
      <c r="BX213" s="7"/>
      <c r="BY213" s="7"/>
      <c r="BZ213" s="7"/>
      <c r="CA213" s="7"/>
      <c r="CB213" s="7"/>
      <c r="CC213" s="7"/>
      <c r="CD213" s="7"/>
      <c r="CE213" s="7"/>
      <c r="CF213" s="7"/>
      <c r="CG213" s="7"/>
      <c r="CH213" s="7"/>
      <c r="CI213" s="7"/>
      <c r="CJ213" s="7"/>
      <c r="CK213" s="7"/>
      <c r="CL213" s="7"/>
      <c r="CM213" s="7"/>
      <c r="CN213" s="7"/>
      <c r="CO213" s="7"/>
      <c r="CP213" s="7"/>
      <c r="CQ213" s="7"/>
      <c r="CR213" s="7"/>
      <c r="CS213" s="7"/>
      <c r="CT213" s="7"/>
      <c r="CU213" s="7"/>
      <c r="CV213" s="7"/>
      <c r="CW213" s="7"/>
      <c r="CX213" s="7"/>
      <c r="CY213" s="7"/>
      <c r="CZ213" s="7"/>
      <c r="DA213" s="7"/>
      <c r="DB213" s="7"/>
      <c r="DC213" s="7"/>
      <c r="DD213" s="7"/>
      <c r="DE213" s="7"/>
      <c r="DF213" s="7"/>
      <c r="DG213" s="7"/>
      <c r="DH213" s="7"/>
      <c r="DI213" s="7"/>
      <c r="DJ213" s="7"/>
      <c r="DK213" s="7"/>
      <c r="DL213" s="7"/>
      <c r="DM213" s="7"/>
      <c r="DN213" s="7"/>
      <c r="DO213" s="7"/>
      <c r="DP213" s="7"/>
      <c r="DQ213" s="7"/>
      <c r="DR213" s="7"/>
      <c r="DS213" s="7"/>
      <c r="DT213" s="7"/>
      <c r="DU213" s="7"/>
      <c r="DV213" s="7"/>
      <c r="DW213" s="7"/>
      <c r="DX213" s="7"/>
      <c r="DY213" s="7"/>
      <c r="DZ213" s="7"/>
    </row>
    <row r="214" spans="1:130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7"/>
      <c r="BO214" s="7"/>
      <c r="BP214" s="7"/>
      <c r="BQ214" s="7"/>
      <c r="BR214" s="7"/>
      <c r="BS214" s="7"/>
      <c r="BT214" s="7"/>
      <c r="BU214" s="7"/>
      <c r="BV214" s="7"/>
      <c r="BW214" s="7"/>
      <c r="BX214" s="7"/>
      <c r="BY214" s="7"/>
      <c r="BZ214" s="7"/>
      <c r="CA214" s="7"/>
      <c r="CB214" s="7"/>
      <c r="CC214" s="7"/>
      <c r="CD214" s="7"/>
      <c r="CE214" s="7"/>
      <c r="CF214" s="7"/>
      <c r="CG214" s="7"/>
      <c r="CH214" s="7"/>
      <c r="CI214" s="7"/>
      <c r="CJ214" s="7"/>
      <c r="CK214" s="7"/>
      <c r="CL214" s="7"/>
      <c r="CM214" s="7"/>
      <c r="CN214" s="7"/>
      <c r="CO214" s="7"/>
      <c r="CP214" s="7"/>
      <c r="CQ214" s="7"/>
      <c r="CR214" s="7"/>
      <c r="CS214" s="7"/>
      <c r="CT214" s="7"/>
      <c r="CU214" s="7"/>
      <c r="CV214" s="7"/>
      <c r="CW214" s="7"/>
      <c r="CX214" s="7"/>
      <c r="CY214" s="7"/>
      <c r="CZ214" s="7"/>
      <c r="DA214" s="7"/>
      <c r="DB214" s="7"/>
      <c r="DC214" s="7"/>
      <c r="DD214" s="7"/>
      <c r="DE214" s="7"/>
      <c r="DF214" s="7"/>
      <c r="DG214" s="7"/>
      <c r="DH214" s="7"/>
      <c r="DI214" s="7"/>
      <c r="DJ214" s="7"/>
      <c r="DK214" s="7"/>
      <c r="DL214" s="7"/>
      <c r="DM214" s="7"/>
      <c r="DN214" s="7"/>
      <c r="DO214" s="7"/>
      <c r="DP214" s="7"/>
      <c r="DQ214" s="7"/>
      <c r="DR214" s="7"/>
      <c r="DS214" s="7"/>
      <c r="DT214" s="7"/>
      <c r="DU214" s="7"/>
      <c r="DV214" s="7"/>
      <c r="DW214" s="7"/>
      <c r="DX214" s="7"/>
      <c r="DY214" s="7"/>
      <c r="DZ214" s="7"/>
    </row>
    <row r="215" spans="1:130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7"/>
      <c r="BN215" s="7"/>
      <c r="BO215" s="7"/>
      <c r="BP215" s="7"/>
      <c r="BQ215" s="7"/>
      <c r="BR215" s="7"/>
      <c r="BS215" s="7"/>
      <c r="BT215" s="7"/>
      <c r="BU215" s="7"/>
      <c r="BV215" s="7"/>
      <c r="BW215" s="7"/>
      <c r="BX215" s="7"/>
      <c r="BY215" s="7"/>
      <c r="BZ215" s="7"/>
      <c r="CA215" s="7"/>
      <c r="CB215" s="7"/>
      <c r="CC215" s="7"/>
      <c r="CD215" s="7"/>
      <c r="CE215" s="7"/>
      <c r="CF215" s="7"/>
      <c r="CG215" s="7"/>
      <c r="CH215" s="7"/>
      <c r="CI215" s="7"/>
      <c r="CJ215" s="7"/>
      <c r="CK215" s="7"/>
      <c r="CL215" s="7"/>
      <c r="CM215" s="7"/>
      <c r="CN215" s="7"/>
      <c r="CO215" s="7"/>
      <c r="CP215" s="7"/>
      <c r="CQ215" s="7"/>
      <c r="CR215" s="7"/>
      <c r="CS215" s="7"/>
      <c r="CT215" s="7"/>
      <c r="CU215" s="7"/>
      <c r="CV215" s="7"/>
      <c r="CW215" s="7"/>
      <c r="CX215" s="7"/>
      <c r="CY215" s="7"/>
      <c r="CZ215" s="7"/>
      <c r="DA215" s="7"/>
      <c r="DB215" s="7"/>
      <c r="DC215" s="7"/>
      <c r="DD215" s="7"/>
      <c r="DE215" s="7"/>
      <c r="DF215" s="7"/>
      <c r="DG215" s="7"/>
      <c r="DH215" s="7"/>
      <c r="DI215" s="7"/>
      <c r="DJ215" s="7"/>
      <c r="DK215" s="7"/>
      <c r="DL215" s="7"/>
      <c r="DM215" s="7"/>
      <c r="DN215" s="7"/>
      <c r="DO215" s="7"/>
      <c r="DP215" s="7"/>
      <c r="DQ215" s="7"/>
      <c r="DR215" s="7"/>
      <c r="DS215" s="7"/>
      <c r="DT215" s="7"/>
      <c r="DU215" s="7"/>
      <c r="DV215" s="7"/>
      <c r="DW215" s="7"/>
      <c r="DX215" s="7"/>
      <c r="DY215" s="7"/>
      <c r="DZ215" s="7"/>
    </row>
    <row r="216" spans="1:130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  <c r="BO216" s="7"/>
      <c r="BP216" s="7"/>
      <c r="BQ216" s="7"/>
      <c r="BR216" s="7"/>
      <c r="BS216" s="7"/>
      <c r="BT216" s="7"/>
      <c r="BU216" s="7"/>
      <c r="BV216" s="7"/>
      <c r="BW216" s="7"/>
      <c r="BX216" s="7"/>
      <c r="BY216" s="7"/>
      <c r="BZ216" s="7"/>
      <c r="CA216" s="7"/>
      <c r="CB216" s="7"/>
      <c r="CC216" s="7"/>
      <c r="CD216" s="7"/>
      <c r="CE216" s="7"/>
      <c r="CF216" s="7"/>
      <c r="CG216" s="7"/>
      <c r="CH216" s="7"/>
      <c r="CI216" s="7"/>
      <c r="CJ216" s="7"/>
      <c r="CK216" s="7"/>
      <c r="CL216" s="7"/>
      <c r="CM216" s="7"/>
      <c r="CN216" s="7"/>
      <c r="CO216" s="7"/>
      <c r="CP216" s="7"/>
      <c r="CQ216" s="7"/>
      <c r="CR216" s="7"/>
      <c r="CS216" s="7"/>
      <c r="CT216" s="7"/>
      <c r="CU216" s="7"/>
      <c r="CV216" s="7"/>
      <c r="CW216" s="7"/>
      <c r="CX216" s="7"/>
      <c r="CY216" s="7"/>
      <c r="CZ216" s="7"/>
      <c r="DA216" s="7"/>
      <c r="DB216" s="7"/>
      <c r="DC216" s="7"/>
      <c r="DD216" s="7"/>
      <c r="DE216" s="7"/>
      <c r="DF216" s="7"/>
      <c r="DG216" s="7"/>
      <c r="DH216" s="7"/>
      <c r="DI216" s="7"/>
      <c r="DJ216" s="7"/>
      <c r="DK216" s="7"/>
      <c r="DL216" s="7"/>
      <c r="DM216" s="7"/>
      <c r="DN216" s="7"/>
      <c r="DO216" s="7"/>
      <c r="DP216" s="7"/>
      <c r="DQ216" s="7"/>
      <c r="DR216" s="7"/>
      <c r="DS216" s="7"/>
      <c r="DT216" s="7"/>
      <c r="DU216" s="7"/>
      <c r="DV216" s="7"/>
      <c r="DW216" s="7"/>
      <c r="DX216" s="7"/>
      <c r="DY216" s="7"/>
      <c r="DZ216" s="7"/>
    </row>
    <row r="217" spans="1:130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7"/>
      <c r="BN217" s="7"/>
      <c r="BO217" s="7"/>
      <c r="BP217" s="7"/>
      <c r="BQ217" s="7"/>
      <c r="BR217" s="7"/>
      <c r="BS217" s="7"/>
      <c r="BT217" s="7"/>
      <c r="BU217" s="7"/>
      <c r="BV217" s="7"/>
      <c r="BW217" s="7"/>
      <c r="BX217" s="7"/>
      <c r="BY217" s="7"/>
      <c r="BZ217" s="7"/>
      <c r="CA217" s="7"/>
      <c r="CB217" s="7"/>
      <c r="CC217" s="7"/>
      <c r="CD217" s="7"/>
      <c r="CE217" s="7"/>
      <c r="CF217" s="7"/>
      <c r="CG217" s="7"/>
      <c r="CH217" s="7"/>
      <c r="CI217" s="7"/>
      <c r="CJ217" s="7"/>
      <c r="CK217" s="7"/>
      <c r="CL217" s="7"/>
      <c r="CM217" s="7"/>
      <c r="CN217" s="7"/>
      <c r="CO217" s="7"/>
      <c r="CP217" s="7"/>
      <c r="CQ217" s="7"/>
      <c r="CR217" s="7"/>
      <c r="CS217" s="7"/>
      <c r="CT217" s="7"/>
      <c r="CU217" s="7"/>
      <c r="CV217" s="7"/>
      <c r="CW217" s="7"/>
      <c r="CX217" s="7"/>
      <c r="CY217" s="7"/>
      <c r="CZ217" s="7"/>
      <c r="DA217" s="7"/>
      <c r="DB217" s="7"/>
      <c r="DC217" s="7"/>
      <c r="DD217" s="7"/>
      <c r="DE217" s="7"/>
      <c r="DF217" s="7"/>
      <c r="DG217" s="7"/>
      <c r="DH217" s="7"/>
      <c r="DI217" s="7"/>
      <c r="DJ217" s="7"/>
      <c r="DK217" s="7"/>
      <c r="DL217" s="7"/>
      <c r="DM217" s="7"/>
      <c r="DN217" s="7"/>
      <c r="DO217" s="7"/>
      <c r="DP217" s="7"/>
      <c r="DQ217" s="7"/>
      <c r="DR217" s="7"/>
      <c r="DS217" s="7"/>
      <c r="DT217" s="7"/>
      <c r="DU217" s="7"/>
      <c r="DV217" s="7"/>
      <c r="DW217" s="7"/>
      <c r="DX217" s="7"/>
      <c r="DY217" s="7"/>
      <c r="DZ217" s="7"/>
    </row>
    <row r="218" spans="1:130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7"/>
      <c r="BN218" s="7"/>
      <c r="BO218" s="7"/>
      <c r="BP218" s="7"/>
      <c r="BQ218" s="7"/>
      <c r="BR218" s="7"/>
      <c r="BS218" s="7"/>
      <c r="BT218" s="7"/>
      <c r="BU218" s="7"/>
      <c r="BV218" s="7"/>
      <c r="BW218" s="7"/>
      <c r="BX218" s="7"/>
      <c r="BY218" s="7"/>
      <c r="BZ218" s="7"/>
      <c r="CA218" s="7"/>
      <c r="CB218" s="7"/>
      <c r="CC218" s="7"/>
      <c r="CD218" s="7"/>
      <c r="CE218" s="7"/>
      <c r="CF218" s="7"/>
      <c r="CG218" s="7"/>
      <c r="CH218" s="7"/>
      <c r="CI218" s="7"/>
      <c r="CJ218" s="7"/>
      <c r="CK218" s="7"/>
      <c r="CL218" s="7"/>
      <c r="CM218" s="7"/>
      <c r="CN218" s="7"/>
      <c r="CO218" s="7"/>
      <c r="CP218" s="7"/>
      <c r="CQ218" s="7"/>
      <c r="CR218" s="7"/>
      <c r="CS218" s="7"/>
      <c r="CT218" s="7"/>
      <c r="CU218" s="7"/>
      <c r="CV218" s="7"/>
      <c r="CW218" s="7"/>
      <c r="CX218" s="7"/>
      <c r="CY218" s="7"/>
      <c r="CZ218" s="7"/>
      <c r="DA218" s="7"/>
      <c r="DB218" s="7"/>
      <c r="DC218" s="7"/>
      <c r="DD218" s="7"/>
      <c r="DE218" s="7"/>
      <c r="DF218" s="7"/>
      <c r="DG218" s="7"/>
      <c r="DH218" s="7"/>
      <c r="DI218" s="7"/>
      <c r="DJ218" s="7"/>
      <c r="DK218" s="7"/>
      <c r="DL218" s="7"/>
      <c r="DM218" s="7"/>
      <c r="DN218" s="7"/>
      <c r="DO218" s="7"/>
      <c r="DP218" s="7"/>
      <c r="DQ218" s="7"/>
      <c r="DR218" s="7"/>
      <c r="DS218" s="7"/>
      <c r="DT218" s="7"/>
      <c r="DU218" s="7"/>
      <c r="DV218" s="7"/>
      <c r="DW218" s="7"/>
      <c r="DX218" s="7"/>
      <c r="DY218" s="7"/>
      <c r="DZ218" s="7"/>
    </row>
    <row r="219" spans="1:130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7"/>
      <c r="BN219" s="7"/>
      <c r="BO219" s="7"/>
      <c r="BP219" s="7"/>
      <c r="BQ219" s="7"/>
      <c r="BR219" s="7"/>
      <c r="BS219" s="7"/>
      <c r="BT219" s="7"/>
      <c r="BU219" s="7"/>
      <c r="BV219" s="7"/>
      <c r="BW219" s="7"/>
      <c r="BX219" s="7"/>
      <c r="BY219" s="7"/>
      <c r="BZ219" s="7"/>
      <c r="CA219" s="7"/>
      <c r="CB219" s="7"/>
      <c r="CC219" s="7"/>
      <c r="CD219" s="7"/>
      <c r="CE219" s="7"/>
      <c r="CF219" s="7"/>
      <c r="CG219" s="7"/>
      <c r="CH219" s="7"/>
      <c r="CI219" s="7"/>
      <c r="CJ219" s="7"/>
      <c r="CK219" s="7"/>
      <c r="CL219" s="7"/>
      <c r="CM219" s="7"/>
      <c r="CN219" s="7"/>
      <c r="CO219" s="7"/>
      <c r="CP219" s="7"/>
      <c r="CQ219" s="7"/>
      <c r="CR219" s="7"/>
      <c r="CS219" s="7"/>
      <c r="CT219" s="7"/>
      <c r="CU219" s="7"/>
      <c r="CV219" s="7"/>
      <c r="CW219" s="7"/>
      <c r="CX219" s="7"/>
      <c r="CY219" s="7"/>
      <c r="CZ219" s="7"/>
      <c r="DA219" s="7"/>
      <c r="DB219" s="7"/>
      <c r="DC219" s="7"/>
      <c r="DD219" s="7"/>
      <c r="DE219" s="7"/>
      <c r="DF219" s="7"/>
      <c r="DG219" s="7"/>
      <c r="DH219" s="7"/>
      <c r="DI219" s="7"/>
      <c r="DJ219" s="7"/>
      <c r="DK219" s="7"/>
      <c r="DL219" s="7"/>
      <c r="DM219" s="7"/>
      <c r="DN219" s="7"/>
      <c r="DO219" s="7"/>
      <c r="DP219" s="7"/>
      <c r="DQ219" s="7"/>
      <c r="DR219" s="7"/>
      <c r="DS219" s="7"/>
      <c r="DT219" s="7"/>
      <c r="DU219" s="7"/>
      <c r="DV219" s="7"/>
      <c r="DW219" s="7"/>
      <c r="DX219" s="7"/>
      <c r="DY219" s="7"/>
      <c r="DZ219" s="7"/>
    </row>
    <row r="220" spans="1:13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7"/>
      <c r="BN220" s="7"/>
      <c r="BO220" s="7"/>
      <c r="BP220" s="7"/>
      <c r="BQ220" s="7"/>
      <c r="BR220" s="7"/>
      <c r="BS220" s="7"/>
      <c r="BT220" s="7"/>
      <c r="BU220" s="7"/>
      <c r="BV220" s="7"/>
      <c r="BW220" s="7"/>
      <c r="BX220" s="7"/>
      <c r="BY220" s="7"/>
      <c r="BZ220" s="7"/>
      <c r="CA220" s="7"/>
      <c r="CB220" s="7"/>
      <c r="CC220" s="7"/>
      <c r="CD220" s="7"/>
      <c r="CE220" s="7"/>
      <c r="CF220" s="7"/>
      <c r="CG220" s="7"/>
      <c r="CH220" s="7"/>
      <c r="CI220" s="7"/>
      <c r="CJ220" s="7"/>
      <c r="CK220" s="7"/>
      <c r="CL220" s="7"/>
      <c r="CM220" s="7"/>
      <c r="CN220" s="7"/>
      <c r="CO220" s="7"/>
      <c r="CP220" s="7"/>
      <c r="CQ220" s="7"/>
      <c r="CR220" s="7"/>
      <c r="CS220" s="7"/>
      <c r="CT220" s="7"/>
      <c r="CU220" s="7"/>
      <c r="CV220" s="7"/>
      <c r="CW220" s="7"/>
      <c r="CX220" s="7"/>
      <c r="CY220" s="7"/>
      <c r="CZ220" s="7"/>
      <c r="DA220" s="7"/>
      <c r="DB220" s="7"/>
      <c r="DC220" s="7"/>
      <c r="DD220" s="7"/>
      <c r="DE220" s="7"/>
      <c r="DF220" s="7"/>
      <c r="DG220" s="7"/>
      <c r="DH220" s="7"/>
      <c r="DI220" s="7"/>
      <c r="DJ220" s="7"/>
      <c r="DK220" s="7"/>
      <c r="DL220" s="7"/>
      <c r="DM220" s="7"/>
      <c r="DN220" s="7"/>
      <c r="DO220" s="7"/>
      <c r="DP220" s="7"/>
      <c r="DQ220" s="7"/>
      <c r="DR220" s="7"/>
      <c r="DS220" s="7"/>
      <c r="DT220" s="7"/>
      <c r="DU220" s="7"/>
      <c r="DV220" s="7"/>
      <c r="DW220" s="7"/>
      <c r="DX220" s="7"/>
      <c r="DY220" s="7"/>
      <c r="DZ220" s="7"/>
    </row>
    <row r="221" spans="1:130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7"/>
      <c r="BN221" s="7"/>
      <c r="BO221" s="7"/>
      <c r="BP221" s="7"/>
      <c r="BQ221" s="7"/>
      <c r="BR221" s="7"/>
      <c r="BS221" s="7"/>
      <c r="BT221" s="7"/>
      <c r="BU221" s="7"/>
      <c r="BV221" s="7"/>
      <c r="BW221" s="7"/>
      <c r="BX221" s="7"/>
      <c r="BY221" s="7"/>
      <c r="BZ221" s="7"/>
      <c r="CA221" s="7"/>
      <c r="CB221" s="7"/>
      <c r="CC221" s="7"/>
      <c r="CD221" s="7"/>
      <c r="CE221" s="7"/>
      <c r="CF221" s="7"/>
      <c r="CG221" s="7"/>
      <c r="CH221" s="7"/>
      <c r="CI221" s="7"/>
      <c r="CJ221" s="7"/>
      <c r="CK221" s="7"/>
      <c r="CL221" s="7"/>
      <c r="CM221" s="7"/>
      <c r="CN221" s="7"/>
      <c r="CO221" s="7"/>
      <c r="CP221" s="7"/>
      <c r="CQ221" s="7"/>
      <c r="CR221" s="7"/>
      <c r="CS221" s="7"/>
      <c r="CT221" s="7"/>
      <c r="CU221" s="7"/>
      <c r="CV221" s="7"/>
      <c r="CW221" s="7"/>
      <c r="CX221" s="7"/>
      <c r="CY221" s="7"/>
      <c r="CZ221" s="7"/>
      <c r="DA221" s="7"/>
      <c r="DB221" s="7"/>
      <c r="DC221" s="7"/>
      <c r="DD221" s="7"/>
      <c r="DE221" s="7"/>
      <c r="DF221" s="7"/>
      <c r="DG221" s="7"/>
      <c r="DH221" s="7"/>
      <c r="DI221" s="7"/>
      <c r="DJ221" s="7"/>
      <c r="DK221" s="7"/>
      <c r="DL221" s="7"/>
      <c r="DM221" s="7"/>
      <c r="DN221" s="7"/>
      <c r="DO221" s="7"/>
      <c r="DP221" s="7"/>
      <c r="DQ221" s="7"/>
      <c r="DR221" s="7"/>
      <c r="DS221" s="7"/>
      <c r="DT221" s="7"/>
      <c r="DU221" s="7"/>
      <c r="DV221" s="7"/>
      <c r="DW221" s="7"/>
      <c r="DX221" s="7"/>
      <c r="DY221" s="7"/>
      <c r="DZ221" s="7"/>
    </row>
    <row r="222" spans="1:130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7"/>
      <c r="BN222" s="7"/>
      <c r="BO222" s="7"/>
      <c r="BP222" s="7"/>
      <c r="BQ222" s="7"/>
      <c r="BR222" s="7"/>
      <c r="BS222" s="7"/>
      <c r="BT222" s="7"/>
      <c r="BU222" s="7"/>
      <c r="BV222" s="7"/>
      <c r="BW222" s="7"/>
      <c r="BX222" s="7"/>
      <c r="BY222" s="7"/>
      <c r="BZ222" s="7"/>
      <c r="CA222" s="7"/>
      <c r="CB222" s="7"/>
      <c r="CC222" s="7"/>
      <c r="CD222" s="7"/>
      <c r="CE222" s="7"/>
      <c r="CF222" s="7"/>
      <c r="CG222" s="7"/>
      <c r="CH222" s="7"/>
      <c r="CI222" s="7"/>
      <c r="CJ222" s="7"/>
      <c r="CK222" s="7"/>
      <c r="CL222" s="7"/>
      <c r="CM222" s="7"/>
      <c r="CN222" s="7"/>
      <c r="CO222" s="7"/>
      <c r="CP222" s="7"/>
      <c r="CQ222" s="7"/>
      <c r="CR222" s="7"/>
      <c r="CS222" s="7"/>
      <c r="CT222" s="7"/>
      <c r="CU222" s="7"/>
      <c r="CV222" s="7"/>
      <c r="CW222" s="7"/>
      <c r="CX222" s="7"/>
      <c r="CY222" s="7"/>
      <c r="CZ222" s="7"/>
      <c r="DA222" s="7"/>
      <c r="DB222" s="7"/>
      <c r="DC222" s="7"/>
      <c r="DD222" s="7"/>
      <c r="DE222" s="7"/>
      <c r="DF222" s="7"/>
      <c r="DG222" s="7"/>
      <c r="DH222" s="7"/>
      <c r="DI222" s="7"/>
      <c r="DJ222" s="7"/>
      <c r="DK222" s="7"/>
      <c r="DL222" s="7"/>
      <c r="DM222" s="7"/>
      <c r="DN222" s="7"/>
      <c r="DO222" s="7"/>
      <c r="DP222" s="7"/>
      <c r="DQ222" s="7"/>
      <c r="DR222" s="7"/>
      <c r="DS222" s="7"/>
      <c r="DT222" s="7"/>
      <c r="DU222" s="7"/>
      <c r="DV222" s="7"/>
      <c r="DW222" s="7"/>
      <c r="DX222" s="7"/>
      <c r="DY222" s="7"/>
      <c r="DZ222" s="7"/>
    </row>
    <row r="223" spans="1:130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7"/>
      <c r="BN223" s="7"/>
      <c r="BO223" s="7"/>
      <c r="BP223" s="7"/>
      <c r="BQ223" s="7"/>
      <c r="BR223" s="7"/>
      <c r="BS223" s="7"/>
      <c r="BT223" s="7"/>
      <c r="BU223" s="7"/>
      <c r="BV223" s="7"/>
      <c r="BW223" s="7"/>
      <c r="BX223" s="7"/>
      <c r="BY223" s="7"/>
      <c r="BZ223" s="7"/>
      <c r="CA223" s="7"/>
      <c r="CB223" s="7"/>
      <c r="CC223" s="7"/>
      <c r="CD223" s="7"/>
      <c r="CE223" s="7"/>
      <c r="CF223" s="7"/>
      <c r="CG223" s="7"/>
      <c r="CH223" s="7"/>
      <c r="CI223" s="7"/>
      <c r="CJ223" s="7"/>
      <c r="CK223" s="7"/>
      <c r="CL223" s="7"/>
      <c r="CM223" s="7"/>
      <c r="CN223" s="7"/>
      <c r="CO223" s="7"/>
      <c r="CP223" s="7"/>
      <c r="CQ223" s="7"/>
      <c r="CR223" s="7"/>
      <c r="CS223" s="7"/>
      <c r="CT223" s="7"/>
      <c r="CU223" s="7"/>
      <c r="CV223" s="7"/>
      <c r="CW223" s="7"/>
      <c r="CX223" s="7"/>
      <c r="CY223" s="7"/>
      <c r="CZ223" s="7"/>
      <c r="DA223" s="7"/>
      <c r="DB223" s="7"/>
      <c r="DC223" s="7"/>
      <c r="DD223" s="7"/>
      <c r="DE223" s="7"/>
      <c r="DF223" s="7"/>
      <c r="DG223" s="7"/>
      <c r="DH223" s="7"/>
      <c r="DI223" s="7"/>
      <c r="DJ223" s="7"/>
      <c r="DK223" s="7"/>
      <c r="DL223" s="7"/>
      <c r="DM223" s="7"/>
      <c r="DN223" s="7"/>
      <c r="DO223" s="7"/>
      <c r="DP223" s="7"/>
      <c r="DQ223" s="7"/>
      <c r="DR223" s="7"/>
      <c r="DS223" s="7"/>
      <c r="DT223" s="7"/>
      <c r="DU223" s="7"/>
      <c r="DV223" s="7"/>
      <c r="DW223" s="7"/>
      <c r="DX223" s="7"/>
      <c r="DY223" s="7"/>
      <c r="DZ223" s="7"/>
    </row>
    <row r="224" spans="1:130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7"/>
      <c r="BN224" s="7"/>
      <c r="BO224" s="7"/>
      <c r="BP224" s="7"/>
      <c r="BQ224" s="7"/>
      <c r="BR224" s="7"/>
      <c r="BS224" s="7"/>
      <c r="BT224" s="7"/>
      <c r="BU224" s="7"/>
      <c r="BV224" s="7"/>
      <c r="BW224" s="7"/>
      <c r="BX224" s="7"/>
      <c r="BY224" s="7"/>
      <c r="BZ224" s="7"/>
      <c r="CA224" s="7"/>
      <c r="CB224" s="7"/>
      <c r="CC224" s="7"/>
      <c r="CD224" s="7"/>
      <c r="CE224" s="7"/>
      <c r="CF224" s="7"/>
      <c r="CG224" s="7"/>
      <c r="CH224" s="7"/>
      <c r="CI224" s="7"/>
      <c r="CJ224" s="7"/>
      <c r="CK224" s="7"/>
      <c r="CL224" s="7"/>
      <c r="CM224" s="7"/>
      <c r="CN224" s="7"/>
      <c r="CO224" s="7"/>
      <c r="CP224" s="7"/>
      <c r="CQ224" s="7"/>
      <c r="CR224" s="7"/>
      <c r="CS224" s="7"/>
      <c r="CT224" s="7"/>
      <c r="CU224" s="7"/>
      <c r="CV224" s="7"/>
      <c r="CW224" s="7"/>
      <c r="CX224" s="7"/>
      <c r="CY224" s="7"/>
      <c r="CZ224" s="7"/>
      <c r="DA224" s="7"/>
      <c r="DB224" s="7"/>
      <c r="DC224" s="7"/>
      <c r="DD224" s="7"/>
      <c r="DE224" s="7"/>
      <c r="DF224" s="7"/>
      <c r="DG224" s="7"/>
      <c r="DH224" s="7"/>
      <c r="DI224" s="7"/>
      <c r="DJ224" s="7"/>
      <c r="DK224" s="7"/>
      <c r="DL224" s="7"/>
      <c r="DM224" s="7"/>
      <c r="DN224" s="7"/>
      <c r="DO224" s="7"/>
      <c r="DP224" s="7"/>
      <c r="DQ224" s="7"/>
      <c r="DR224" s="7"/>
      <c r="DS224" s="7"/>
      <c r="DT224" s="7"/>
      <c r="DU224" s="7"/>
      <c r="DV224" s="7"/>
      <c r="DW224" s="7"/>
      <c r="DX224" s="7"/>
      <c r="DY224" s="7"/>
      <c r="DZ224" s="7"/>
    </row>
    <row r="225" spans="1:130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7"/>
      <c r="BN225" s="7"/>
      <c r="BO225" s="7"/>
      <c r="BP225" s="7"/>
      <c r="BQ225" s="7"/>
      <c r="BR225" s="7"/>
      <c r="BS225" s="7"/>
      <c r="BT225" s="7"/>
      <c r="BU225" s="7"/>
      <c r="BV225" s="7"/>
      <c r="BW225" s="7"/>
      <c r="BX225" s="7"/>
      <c r="BY225" s="7"/>
      <c r="BZ225" s="7"/>
      <c r="CA225" s="7"/>
      <c r="CB225" s="7"/>
      <c r="CC225" s="7"/>
      <c r="CD225" s="7"/>
      <c r="CE225" s="7"/>
      <c r="CF225" s="7"/>
      <c r="CG225" s="7"/>
      <c r="CH225" s="7"/>
      <c r="CI225" s="7"/>
      <c r="CJ225" s="7"/>
      <c r="CK225" s="7"/>
      <c r="CL225" s="7"/>
      <c r="CM225" s="7"/>
      <c r="CN225" s="7"/>
      <c r="CO225" s="7"/>
      <c r="CP225" s="7"/>
      <c r="CQ225" s="7"/>
      <c r="CR225" s="7"/>
      <c r="CS225" s="7"/>
      <c r="CT225" s="7"/>
      <c r="CU225" s="7"/>
      <c r="CV225" s="7"/>
      <c r="CW225" s="7"/>
      <c r="CX225" s="7"/>
      <c r="CY225" s="7"/>
      <c r="CZ225" s="7"/>
      <c r="DA225" s="7"/>
      <c r="DB225" s="7"/>
      <c r="DC225" s="7"/>
      <c r="DD225" s="7"/>
      <c r="DE225" s="7"/>
      <c r="DF225" s="7"/>
      <c r="DG225" s="7"/>
      <c r="DH225" s="7"/>
      <c r="DI225" s="7"/>
      <c r="DJ225" s="7"/>
      <c r="DK225" s="7"/>
      <c r="DL225" s="7"/>
      <c r="DM225" s="7"/>
      <c r="DN225" s="7"/>
      <c r="DO225" s="7"/>
      <c r="DP225" s="7"/>
      <c r="DQ225" s="7"/>
      <c r="DR225" s="7"/>
      <c r="DS225" s="7"/>
      <c r="DT225" s="7"/>
      <c r="DU225" s="7"/>
      <c r="DV225" s="7"/>
      <c r="DW225" s="7"/>
      <c r="DX225" s="7"/>
      <c r="DY225" s="7"/>
      <c r="DZ225" s="7"/>
    </row>
    <row r="226" spans="1:130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7"/>
      <c r="BN226" s="7"/>
      <c r="BO226" s="7"/>
      <c r="BP226" s="7"/>
      <c r="BQ226" s="7"/>
      <c r="BR226" s="7"/>
      <c r="BS226" s="7"/>
      <c r="BT226" s="7"/>
      <c r="BU226" s="7"/>
      <c r="BV226" s="7"/>
      <c r="BW226" s="7"/>
      <c r="BX226" s="7"/>
      <c r="BY226" s="7"/>
      <c r="BZ226" s="7"/>
      <c r="CA226" s="7"/>
      <c r="CB226" s="7"/>
      <c r="CC226" s="7"/>
      <c r="CD226" s="7"/>
      <c r="CE226" s="7"/>
      <c r="CF226" s="7"/>
      <c r="CG226" s="7"/>
      <c r="CH226" s="7"/>
      <c r="CI226" s="7"/>
      <c r="CJ226" s="7"/>
      <c r="CK226" s="7"/>
      <c r="CL226" s="7"/>
      <c r="CM226" s="7"/>
      <c r="CN226" s="7"/>
      <c r="CO226" s="7"/>
      <c r="CP226" s="7"/>
      <c r="CQ226" s="7"/>
      <c r="CR226" s="7"/>
      <c r="CS226" s="7"/>
      <c r="CT226" s="7"/>
      <c r="CU226" s="7"/>
      <c r="CV226" s="7"/>
      <c r="CW226" s="7"/>
      <c r="CX226" s="7"/>
      <c r="CY226" s="7"/>
      <c r="CZ226" s="7"/>
      <c r="DA226" s="7"/>
      <c r="DB226" s="7"/>
      <c r="DC226" s="7"/>
      <c r="DD226" s="7"/>
      <c r="DE226" s="7"/>
      <c r="DF226" s="7"/>
      <c r="DG226" s="7"/>
      <c r="DH226" s="7"/>
      <c r="DI226" s="7"/>
      <c r="DJ226" s="7"/>
      <c r="DK226" s="7"/>
      <c r="DL226" s="7"/>
      <c r="DM226" s="7"/>
      <c r="DN226" s="7"/>
      <c r="DO226" s="7"/>
      <c r="DP226" s="7"/>
      <c r="DQ226" s="7"/>
      <c r="DR226" s="7"/>
      <c r="DS226" s="7"/>
      <c r="DT226" s="7"/>
      <c r="DU226" s="7"/>
      <c r="DV226" s="7"/>
      <c r="DW226" s="7"/>
      <c r="DX226" s="7"/>
      <c r="DY226" s="7"/>
      <c r="DZ226" s="7"/>
    </row>
    <row r="227" spans="1:130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7"/>
      <c r="BN227" s="7"/>
      <c r="BO227" s="7"/>
      <c r="BP227" s="7"/>
      <c r="BQ227" s="7"/>
      <c r="BR227" s="7"/>
      <c r="BS227" s="7"/>
      <c r="BT227" s="7"/>
      <c r="BU227" s="7"/>
      <c r="BV227" s="7"/>
      <c r="BW227" s="7"/>
      <c r="BX227" s="7"/>
      <c r="BY227" s="7"/>
      <c r="BZ227" s="7"/>
      <c r="CA227" s="7"/>
      <c r="CB227" s="7"/>
      <c r="CC227" s="7"/>
      <c r="CD227" s="7"/>
      <c r="CE227" s="7"/>
      <c r="CF227" s="7"/>
      <c r="CG227" s="7"/>
      <c r="CH227" s="7"/>
      <c r="CI227" s="7"/>
      <c r="CJ227" s="7"/>
      <c r="CK227" s="7"/>
      <c r="CL227" s="7"/>
      <c r="CM227" s="7"/>
      <c r="CN227" s="7"/>
      <c r="CO227" s="7"/>
      <c r="CP227" s="7"/>
      <c r="CQ227" s="7"/>
      <c r="CR227" s="7"/>
      <c r="CS227" s="7"/>
      <c r="CT227" s="7"/>
      <c r="CU227" s="7"/>
      <c r="CV227" s="7"/>
      <c r="CW227" s="7"/>
      <c r="CX227" s="7"/>
      <c r="CY227" s="7"/>
      <c r="CZ227" s="7"/>
      <c r="DA227" s="7"/>
      <c r="DB227" s="7"/>
      <c r="DC227" s="7"/>
      <c r="DD227" s="7"/>
      <c r="DE227" s="7"/>
      <c r="DF227" s="7"/>
      <c r="DG227" s="7"/>
      <c r="DH227" s="7"/>
      <c r="DI227" s="7"/>
      <c r="DJ227" s="7"/>
      <c r="DK227" s="7"/>
      <c r="DL227" s="7"/>
      <c r="DM227" s="7"/>
      <c r="DN227" s="7"/>
      <c r="DO227" s="7"/>
      <c r="DP227" s="7"/>
      <c r="DQ227" s="7"/>
      <c r="DR227" s="7"/>
      <c r="DS227" s="7"/>
      <c r="DT227" s="7"/>
      <c r="DU227" s="7"/>
      <c r="DV227" s="7"/>
      <c r="DW227" s="7"/>
      <c r="DX227" s="7"/>
      <c r="DY227" s="7"/>
      <c r="DZ227" s="7"/>
    </row>
    <row r="228" spans="1:130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7"/>
      <c r="BN228" s="7"/>
      <c r="BO228" s="7"/>
      <c r="BP228" s="7"/>
      <c r="BQ228" s="7"/>
      <c r="BR228" s="7"/>
      <c r="BS228" s="7"/>
      <c r="BT228" s="7"/>
      <c r="BU228" s="7"/>
      <c r="BV228" s="7"/>
      <c r="BW228" s="7"/>
      <c r="BX228" s="7"/>
      <c r="BY228" s="7"/>
      <c r="BZ228" s="7"/>
      <c r="CA228" s="7"/>
      <c r="CB228" s="7"/>
      <c r="CC228" s="7"/>
      <c r="CD228" s="7"/>
      <c r="CE228" s="7"/>
      <c r="CF228" s="7"/>
      <c r="CG228" s="7"/>
      <c r="CH228" s="7"/>
      <c r="CI228" s="7"/>
      <c r="CJ228" s="7"/>
      <c r="CK228" s="7"/>
      <c r="CL228" s="7"/>
      <c r="CM228" s="7"/>
      <c r="CN228" s="7"/>
      <c r="CO228" s="7"/>
      <c r="CP228" s="7"/>
      <c r="CQ228" s="7"/>
      <c r="CR228" s="7"/>
      <c r="CS228" s="7"/>
      <c r="CT228" s="7"/>
      <c r="CU228" s="7"/>
      <c r="CV228" s="7"/>
      <c r="CW228" s="7"/>
      <c r="CX228" s="7"/>
      <c r="CY228" s="7"/>
      <c r="CZ228" s="7"/>
      <c r="DA228" s="7"/>
      <c r="DB228" s="7"/>
      <c r="DC228" s="7"/>
      <c r="DD228" s="7"/>
      <c r="DE228" s="7"/>
      <c r="DF228" s="7"/>
      <c r="DG228" s="7"/>
      <c r="DH228" s="7"/>
      <c r="DI228" s="7"/>
      <c r="DJ228" s="7"/>
      <c r="DK228" s="7"/>
      <c r="DL228" s="7"/>
      <c r="DM228" s="7"/>
      <c r="DN228" s="7"/>
      <c r="DO228" s="7"/>
      <c r="DP228" s="7"/>
      <c r="DQ228" s="7"/>
      <c r="DR228" s="7"/>
      <c r="DS228" s="7"/>
      <c r="DT228" s="7"/>
      <c r="DU228" s="7"/>
      <c r="DV228" s="7"/>
      <c r="DW228" s="7"/>
      <c r="DX228" s="7"/>
      <c r="DY228" s="7"/>
      <c r="DZ228" s="7"/>
    </row>
    <row r="229" spans="1:130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7"/>
      <c r="BN229" s="7"/>
      <c r="BO229" s="7"/>
      <c r="BP229" s="7"/>
      <c r="BQ229" s="7"/>
      <c r="BR229" s="7"/>
      <c r="BS229" s="7"/>
      <c r="BT229" s="7"/>
      <c r="BU229" s="7"/>
      <c r="BV229" s="7"/>
      <c r="BW229" s="7"/>
      <c r="BX229" s="7"/>
      <c r="BY229" s="7"/>
      <c r="BZ229" s="7"/>
      <c r="CA229" s="7"/>
      <c r="CB229" s="7"/>
      <c r="CC229" s="7"/>
      <c r="CD229" s="7"/>
      <c r="CE229" s="7"/>
      <c r="CF229" s="7"/>
      <c r="CG229" s="7"/>
      <c r="CH229" s="7"/>
      <c r="CI229" s="7"/>
      <c r="CJ229" s="7"/>
      <c r="CK229" s="7"/>
      <c r="CL229" s="7"/>
      <c r="CM229" s="7"/>
      <c r="CN229" s="7"/>
      <c r="CO229" s="7"/>
      <c r="CP229" s="7"/>
      <c r="CQ229" s="7"/>
      <c r="CR229" s="7"/>
      <c r="CS229" s="7"/>
      <c r="CT229" s="7"/>
      <c r="CU229" s="7"/>
      <c r="CV229" s="7"/>
      <c r="CW229" s="7"/>
      <c r="CX229" s="7"/>
      <c r="CY229" s="7"/>
      <c r="CZ229" s="7"/>
      <c r="DA229" s="7"/>
      <c r="DB229" s="7"/>
      <c r="DC229" s="7"/>
      <c r="DD229" s="7"/>
      <c r="DE229" s="7"/>
      <c r="DF229" s="7"/>
      <c r="DG229" s="7"/>
      <c r="DH229" s="7"/>
      <c r="DI229" s="7"/>
      <c r="DJ229" s="7"/>
      <c r="DK229" s="7"/>
      <c r="DL229" s="7"/>
      <c r="DM229" s="7"/>
      <c r="DN229" s="7"/>
      <c r="DO229" s="7"/>
      <c r="DP229" s="7"/>
      <c r="DQ229" s="7"/>
      <c r="DR229" s="7"/>
      <c r="DS229" s="7"/>
      <c r="DT229" s="7"/>
      <c r="DU229" s="7"/>
      <c r="DV229" s="7"/>
      <c r="DW229" s="7"/>
      <c r="DX229" s="7"/>
      <c r="DY229" s="7"/>
      <c r="DZ229" s="7"/>
    </row>
    <row r="230" spans="1:1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7"/>
      <c r="BN230" s="7"/>
      <c r="BO230" s="7"/>
      <c r="BP230" s="7"/>
      <c r="BQ230" s="7"/>
      <c r="BR230" s="7"/>
      <c r="BS230" s="7"/>
      <c r="BT230" s="7"/>
      <c r="BU230" s="7"/>
      <c r="BV230" s="7"/>
      <c r="BW230" s="7"/>
      <c r="BX230" s="7"/>
      <c r="BY230" s="7"/>
      <c r="BZ230" s="7"/>
      <c r="CA230" s="7"/>
      <c r="CB230" s="7"/>
      <c r="CC230" s="7"/>
      <c r="CD230" s="7"/>
      <c r="CE230" s="7"/>
      <c r="CF230" s="7"/>
      <c r="CG230" s="7"/>
      <c r="CH230" s="7"/>
      <c r="CI230" s="7"/>
      <c r="CJ230" s="7"/>
      <c r="CK230" s="7"/>
      <c r="CL230" s="7"/>
      <c r="CM230" s="7"/>
      <c r="CN230" s="7"/>
      <c r="CO230" s="7"/>
      <c r="CP230" s="7"/>
      <c r="CQ230" s="7"/>
      <c r="CR230" s="7"/>
      <c r="CS230" s="7"/>
      <c r="CT230" s="7"/>
      <c r="CU230" s="7"/>
      <c r="CV230" s="7"/>
      <c r="CW230" s="7"/>
      <c r="CX230" s="7"/>
      <c r="CY230" s="7"/>
      <c r="CZ230" s="7"/>
      <c r="DA230" s="7"/>
      <c r="DB230" s="7"/>
      <c r="DC230" s="7"/>
      <c r="DD230" s="7"/>
      <c r="DE230" s="7"/>
      <c r="DF230" s="7"/>
      <c r="DG230" s="7"/>
      <c r="DH230" s="7"/>
      <c r="DI230" s="7"/>
      <c r="DJ230" s="7"/>
      <c r="DK230" s="7"/>
      <c r="DL230" s="7"/>
      <c r="DM230" s="7"/>
      <c r="DN230" s="7"/>
      <c r="DO230" s="7"/>
      <c r="DP230" s="7"/>
      <c r="DQ230" s="7"/>
      <c r="DR230" s="7"/>
      <c r="DS230" s="7"/>
      <c r="DT230" s="7"/>
      <c r="DU230" s="7"/>
      <c r="DV230" s="7"/>
      <c r="DW230" s="7"/>
      <c r="DX230" s="7"/>
      <c r="DY230" s="7"/>
      <c r="DZ230" s="7"/>
    </row>
    <row r="231" spans="1:130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7"/>
      <c r="BN231" s="7"/>
      <c r="BO231" s="7"/>
      <c r="BP231" s="7"/>
      <c r="BQ231" s="7"/>
      <c r="BR231" s="7"/>
      <c r="BS231" s="7"/>
      <c r="BT231" s="7"/>
      <c r="BU231" s="7"/>
      <c r="BV231" s="7"/>
      <c r="BW231" s="7"/>
      <c r="BX231" s="7"/>
      <c r="BY231" s="7"/>
      <c r="BZ231" s="7"/>
      <c r="CA231" s="7"/>
      <c r="CB231" s="7"/>
      <c r="CC231" s="7"/>
      <c r="CD231" s="7"/>
      <c r="CE231" s="7"/>
      <c r="CF231" s="7"/>
      <c r="CG231" s="7"/>
      <c r="CH231" s="7"/>
      <c r="CI231" s="7"/>
      <c r="CJ231" s="7"/>
      <c r="CK231" s="7"/>
      <c r="CL231" s="7"/>
      <c r="CM231" s="7"/>
      <c r="CN231" s="7"/>
      <c r="CO231" s="7"/>
      <c r="CP231" s="7"/>
      <c r="CQ231" s="7"/>
      <c r="CR231" s="7"/>
      <c r="CS231" s="7"/>
      <c r="CT231" s="7"/>
      <c r="CU231" s="7"/>
      <c r="CV231" s="7"/>
      <c r="CW231" s="7"/>
      <c r="CX231" s="7"/>
      <c r="CY231" s="7"/>
      <c r="CZ231" s="7"/>
      <c r="DA231" s="7"/>
      <c r="DB231" s="7"/>
      <c r="DC231" s="7"/>
      <c r="DD231" s="7"/>
      <c r="DE231" s="7"/>
      <c r="DF231" s="7"/>
      <c r="DG231" s="7"/>
      <c r="DH231" s="7"/>
      <c r="DI231" s="7"/>
      <c r="DJ231" s="7"/>
      <c r="DK231" s="7"/>
      <c r="DL231" s="7"/>
      <c r="DM231" s="7"/>
      <c r="DN231" s="7"/>
      <c r="DO231" s="7"/>
      <c r="DP231" s="7"/>
      <c r="DQ231" s="7"/>
      <c r="DR231" s="7"/>
      <c r="DS231" s="7"/>
      <c r="DT231" s="7"/>
      <c r="DU231" s="7"/>
      <c r="DV231" s="7"/>
      <c r="DW231" s="7"/>
      <c r="DX231" s="7"/>
      <c r="DY231" s="7"/>
      <c r="DZ231" s="7"/>
    </row>
    <row r="232" spans="1:130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  <c r="BN232" s="7"/>
      <c r="BO232" s="7"/>
      <c r="BP232" s="7"/>
      <c r="BQ232" s="7"/>
      <c r="BR232" s="7"/>
      <c r="BS232" s="7"/>
      <c r="BT232" s="7"/>
      <c r="BU232" s="7"/>
      <c r="BV232" s="7"/>
      <c r="BW232" s="7"/>
      <c r="BX232" s="7"/>
      <c r="BY232" s="7"/>
      <c r="BZ232" s="7"/>
      <c r="CA232" s="7"/>
      <c r="CB232" s="7"/>
      <c r="CC232" s="7"/>
      <c r="CD232" s="7"/>
      <c r="CE232" s="7"/>
      <c r="CF232" s="7"/>
      <c r="CG232" s="7"/>
      <c r="CH232" s="7"/>
      <c r="CI232" s="7"/>
      <c r="CJ232" s="7"/>
      <c r="CK232" s="7"/>
      <c r="CL232" s="7"/>
      <c r="CM232" s="7"/>
      <c r="CN232" s="7"/>
      <c r="CO232" s="7"/>
      <c r="CP232" s="7"/>
      <c r="CQ232" s="7"/>
      <c r="CR232" s="7"/>
      <c r="CS232" s="7"/>
      <c r="CT232" s="7"/>
      <c r="CU232" s="7"/>
      <c r="CV232" s="7"/>
      <c r="CW232" s="7"/>
      <c r="CX232" s="7"/>
      <c r="CY232" s="7"/>
      <c r="CZ232" s="7"/>
      <c r="DA232" s="7"/>
      <c r="DB232" s="7"/>
      <c r="DC232" s="7"/>
      <c r="DD232" s="7"/>
      <c r="DE232" s="7"/>
      <c r="DF232" s="7"/>
      <c r="DG232" s="7"/>
      <c r="DH232" s="7"/>
      <c r="DI232" s="7"/>
      <c r="DJ232" s="7"/>
      <c r="DK232" s="7"/>
      <c r="DL232" s="7"/>
      <c r="DM232" s="7"/>
      <c r="DN232" s="7"/>
      <c r="DO232" s="7"/>
      <c r="DP232" s="7"/>
      <c r="DQ232" s="7"/>
      <c r="DR232" s="7"/>
      <c r="DS232" s="7"/>
      <c r="DT232" s="7"/>
      <c r="DU232" s="7"/>
      <c r="DV232" s="7"/>
      <c r="DW232" s="7"/>
      <c r="DX232" s="7"/>
      <c r="DY232" s="7"/>
      <c r="DZ232" s="7"/>
    </row>
    <row r="233" spans="1:130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7"/>
      <c r="BN233" s="7"/>
      <c r="BO233" s="7"/>
      <c r="BP233" s="7"/>
      <c r="BQ233" s="7"/>
      <c r="BR233" s="7"/>
      <c r="BS233" s="7"/>
      <c r="BT233" s="7"/>
      <c r="BU233" s="7"/>
      <c r="BV233" s="7"/>
      <c r="BW233" s="7"/>
      <c r="BX233" s="7"/>
      <c r="BY233" s="7"/>
      <c r="BZ233" s="7"/>
      <c r="CA233" s="7"/>
      <c r="CB233" s="7"/>
      <c r="CC233" s="7"/>
      <c r="CD233" s="7"/>
      <c r="CE233" s="7"/>
      <c r="CF233" s="7"/>
      <c r="CG233" s="7"/>
      <c r="CH233" s="7"/>
      <c r="CI233" s="7"/>
      <c r="CJ233" s="7"/>
      <c r="CK233" s="7"/>
      <c r="CL233" s="7"/>
      <c r="CM233" s="7"/>
      <c r="CN233" s="7"/>
      <c r="CO233" s="7"/>
      <c r="CP233" s="7"/>
      <c r="CQ233" s="7"/>
      <c r="CR233" s="7"/>
      <c r="CS233" s="7"/>
      <c r="CT233" s="7"/>
      <c r="CU233" s="7"/>
      <c r="CV233" s="7"/>
      <c r="CW233" s="7"/>
      <c r="CX233" s="7"/>
      <c r="CY233" s="7"/>
      <c r="CZ233" s="7"/>
      <c r="DA233" s="7"/>
      <c r="DB233" s="7"/>
      <c r="DC233" s="7"/>
      <c r="DD233" s="7"/>
      <c r="DE233" s="7"/>
      <c r="DF233" s="7"/>
      <c r="DG233" s="7"/>
      <c r="DH233" s="7"/>
      <c r="DI233" s="7"/>
      <c r="DJ233" s="7"/>
      <c r="DK233" s="7"/>
      <c r="DL233" s="7"/>
      <c r="DM233" s="7"/>
      <c r="DN233" s="7"/>
      <c r="DO233" s="7"/>
      <c r="DP233" s="7"/>
      <c r="DQ233" s="7"/>
      <c r="DR233" s="7"/>
      <c r="DS233" s="7"/>
      <c r="DT233" s="7"/>
      <c r="DU233" s="7"/>
      <c r="DV233" s="7"/>
      <c r="DW233" s="7"/>
      <c r="DX233" s="7"/>
      <c r="DY233" s="7"/>
      <c r="DZ233" s="7"/>
    </row>
    <row r="234" spans="1:130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7"/>
      <c r="BN234" s="7"/>
      <c r="BO234" s="7"/>
      <c r="BP234" s="7"/>
      <c r="BQ234" s="7"/>
      <c r="BR234" s="7"/>
      <c r="BS234" s="7"/>
      <c r="BT234" s="7"/>
      <c r="BU234" s="7"/>
      <c r="BV234" s="7"/>
      <c r="BW234" s="7"/>
      <c r="BX234" s="7"/>
      <c r="BY234" s="7"/>
      <c r="BZ234" s="7"/>
      <c r="CA234" s="7"/>
      <c r="CB234" s="7"/>
      <c r="CC234" s="7"/>
      <c r="CD234" s="7"/>
      <c r="CE234" s="7"/>
      <c r="CF234" s="7"/>
      <c r="CG234" s="7"/>
      <c r="CH234" s="7"/>
      <c r="CI234" s="7"/>
      <c r="CJ234" s="7"/>
      <c r="CK234" s="7"/>
      <c r="CL234" s="7"/>
      <c r="CM234" s="7"/>
      <c r="CN234" s="7"/>
      <c r="CO234" s="7"/>
      <c r="CP234" s="7"/>
      <c r="CQ234" s="7"/>
      <c r="CR234" s="7"/>
      <c r="CS234" s="7"/>
      <c r="CT234" s="7"/>
      <c r="CU234" s="7"/>
      <c r="CV234" s="7"/>
      <c r="CW234" s="7"/>
      <c r="CX234" s="7"/>
      <c r="CY234" s="7"/>
      <c r="CZ234" s="7"/>
      <c r="DA234" s="7"/>
      <c r="DB234" s="7"/>
      <c r="DC234" s="7"/>
      <c r="DD234" s="7"/>
      <c r="DE234" s="7"/>
      <c r="DF234" s="7"/>
      <c r="DG234" s="7"/>
      <c r="DH234" s="7"/>
      <c r="DI234" s="7"/>
      <c r="DJ234" s="7"/>
      <c r="DK234" s="7"/>
      <c r="DL234" s="7"/>
      <c r="DM234" s="7"/>
      <c r="DN234" s="7"/>
      <c r="DO234" s="7"/>
      <c r="DP234" s="7"/>
      <c r="DQ234" s="7"/>
      <c r="DR234" s="7"/>
      <c r="DS234" s="7"/>
      <c r="DT234" s="7"/>
      <c r="DU234" s="7"/>
      <c r="DV234" s="7"/>
      <c r="DW234" s="7"/>
      <c r="DX234" s="7"/>
      <c r="DY234" s="7"/>
      <c r="DZ234" s="7"/>
    </row>
    <row r="235" spans="1:130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7"/>
      <c r="BN235" s="7"/>
      <c r="BO235" s="7"/>
      <c r="BP235" s="7"/>
      <c r="BQ235" s="7"/>
      <c r="BR235" s="7"/>
      <c r="BS235" s="7"/>
      <c r="BT235" s="7"/>
      <c r="BU235" s="7"/>
      <c r="BV235" s="7"/>
      <c r="BW235" s="7"/>
      <c r="BX235" s="7"/>
      <c r="BY235" s="7"/>
      <c r="BZ235" s="7"/>
      <c r="CA235" s="7"/>
      <c r="CB235" s="7"/>
      <c r="CC235" s="7"/>
      <c r="CD235" s="7"/>
      <c r="CE235" s="7"/>
      <c r="CF235" s="7"/>
      <c r="CG235" s="7"/>
      <c r="CH235" s="7"/>
      <c r="CI235" s="7"/>
      <c r="CJ235" s="7"/>
      <c r="CK235" s="7"/>
      <c r="CL235" s="7"/>
      <c r="CM235" s="7"/>
      <c r="CN235" s="7"/>
      <c r="CO235" s="7"/>
      <c r="CP235" s="7"/>
      <c r="CQ235" s="7"/>
      <c r="CR235" s="7"/>
      <c r="CS235" s="7"/>
      <c r="CT235" s="7"/>
      <c r="CU235" s="7"/>
      <c r="CV235" s="7"/>
      <c r="CW235" s="7"/>
      <c r="CX235" s="7"/>
      <c r="CY235" s="7"/>
      <c r="CZ235" s="7"/>
      <c r="DA235" s="7"/>
      <c r="DB235" s="7"/>
      <c r="DC235" s="7"/>
      <c r="DD235" s="7"/>
      <c r="DE235" s="7"/>
      <c r="DF235" s="7"/>
      <c r="DG235" s="7"/>
      <c r="DH235" s="7"/>
      <c r="DI235" s="7"/>
      <c r="DJ235" s="7"/>
      <c r="DK235" s="7"/>
      <c r="DL235" s="7"/>
      <c r="DM235" s="7"/>
      <c r="DN235" s="7"/>
      <c r="DO235" s="7"/>
      <c r="DP235" s="7"/>
      <c r="DQ235" s="7"/>
      <c r="DR235" s="7"/>
      <c r="DS235" s="7"/>
      <c r="DT235" s="7"/>
      <c r="DU235" s="7"/>
      <c r="DV235" s="7"/>
      <c r="DW235" s="7"/>
      <c r="DX235" s="7"/>
      <c r="DY235" s="7"/>
      <c r="DZ235" s="7"/>
    </row>
    <row r="236" spans="1:130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7"/>
      <c r="BN236" s="7"/>
      <c r="BO236" s="7"/>
      <c r="BP236" s="7"/>
      <c r="BQ236" s="7"/>
      <c r="BR236" s="7"/>
      <c r="BS236" s="7"/>
      <c r="BT236" s="7"/>
      <c r="BU236" s="7"/>
      <c r="BV236" s="7"/>
      <c r="BW236" s="7"/>
      <c r="BX236" s="7"/>
      <c r="BY236" s="7"/>
      <c r="BZ236" s="7"/>
      <c r="CA236" s="7"/>
      <c r="CB236" s="7"/>
      <c r="CC236" s="7"/>
      <c r="CD236" s="7"/>
      <c r="CE236" s="7"/>
      <c r="CF236" s="7"/>
      <c r="CG236" s="7"/>
      <c r="CH236" s="7"/>
      <c r="CI236" s="7"/>
      <c r="CJ236" s="7"/>
      <c r="CK236" s="7"/>
      <c r="CL236" s="7"/>
      <c r="CM236" s="7"/>
      <c r="CN236" s="7"/>
      <c r="CO236" s="7"/>
      <c r="CP236" s="7"/>
      <c r="CQ236" s="7"/>
      <c r="CR236" s="7"/>
      <c r="CS236" s="7"/>
      <c r="CT236" s="7"/>
      <c r="CU236" s="7"/>
      <c r="CV236" s="7"/>
      <c r="CW236" s="7"/>
      <c r="CX236" s="7"/>
      <c r="CY236" s="7"/>
      <c r="CZ236" s="7"/>
      <c r="DA236" s="7"/>
      <c r="DB236" s="7"/>
      <c r="DC236" s="7"/>
      <c r="DD236" s="7"/>
      <c r="DE236" s="7"/>
      <c r="DF236" s="7"/>
      <c r="DG236" s="7"/>
      <c r="DH236" s="7"/>
      <c r="DI236" s="7"/>
      <c r="DJ236" s="7"/>
      <c r="DK236" s="7"/>
      <c r="DL236" s="7"/>
      <c r="DM236" s="7"/>
      <c r="DN236" s="7"/>
      <c r="DO236" s="7"/>
      <c r="DP236" s="7"/>
      <c r="DQ236" s="7"/>
      <c r="DR236" s="7"/>
      <c r="DS236" s="7"/>
      <c r="DT236" s="7"/>
      <c r="DU236" s="7"/>
      <c r="DV236" s="7"/>
      <c r="DW236" s="7"/>
      <c r="DX236" s="7"/>
      <c r="DY236" s="7"/>
      <c r="DZ236" s="7"/>
    </row>
    <row r="237" spans="1:130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7"/>
      <c r="BN237" s="7"/>
      <c r="BO237" s="7"/>
      <c r="BP237" s="7"/>
      <c r="BQ237" s="7"/>
      <c r="BR237" s="7"/>
      <c r="BS237" s="7"/>
      <c r="BT237" s="7"/>
      <c r="BU237" s="7"/>
      <c r="BV237" s="7"/>
      <c r="BW237" s="7"/>
      <c r="BX237" s="7"/>
      <c r="BY237" s="7"/>
      <c r="BZ237" s="7"/>
      <c r="CA237" s="7"/>
      <c r="CB237" s="7"/>
      <c r="CC237" s="7"/>
      <c r="CD237" s="7"/>
      <c r="CE237" s="7"/>
      <c r="CF237" s="7"/>
      <c r="CG237" s="7"/>
      <c r="CH237" s="7"/>
      <c r="CI237" s="7"/>
      <c r="CJ237" s="7"/>
      <c r="CK237" s="7"/>
      <c r="CL237" s="7"/>
      <c r="CM237" s="7"/>
      <c r="CN237" s="7"/>
      <c r="CO237" s="7"/>
      <c r="CP237" s="7"/>
      <c r="CQ237" s="7"/>
      <c r="CR237" s="7"/>
      <c r="CS237" s="7"/>
      <c r="CT237" s="7"/>
      <c r="CU237" s="7"/>
      <c r="CV237" s="7"/>
      <c r="CW237" s="7"/>
      <c r="CX237" s="7"/>
      <c r="CY237" s="7"/>
      <c r="CZ237" s="7"/>
      <c r="DA237" s="7"/>
      <c r="DB237" s="7"/>
      <c r="DC237" s="7"/>
      <c r="DD237" s="7"/>
      <c r="DE237" s="7"/>
      <c r="DF237" s="7"/>
      <c r="DG237" s="7"/>
      <c r="DH237" s="7"/>
      <c r="DI237" s="7"/>
      <c r="DJ237" s="7"/>
      <c r="DK237" s="7"/>
      <c r="DL237" s="7"/>
      <c r="DM237" s="7"/>
      <c r="DN237" s="7"/>
      <c r="DO237" s="7"/>
      <c r="DP237" s="7"/>
      <c r="DQ237" s="7"/>
      <c r="DR237" s="7"/>
      <c r="DS237" s="7"/>
      <c r="DT237" s="7"/>
      <c r="DU237" s="7"/>
      <c r="DV237" s="7"/>
      <c r="DW237" s="7"/>
      <c r="DX237" s="7"/>
      <c r="DY237" s="7"/>
      <c r="DZ237" s="7"/>
    </row>
    <row r="238" spans="1:130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7"/>
      <c r="BN238" s="7"/>
      <c r="BO238" s="7"/>
      <c r="BP238" s="7"/>
      <c r="BQ238" s="7"/>
      <c r="BR238" s="7"/>
      <c r="BS238" s="7"/>
      <c r="BT238" s="7"/>
      <c r="BU238" s="7"/>
      <c r="BV238" s="7"/>
      <c r="BW238" s="7"/>
      <c r="BX238" s="7"/>
      <c r="BY238" s="7"/>
      <c r="BZ238" s="7"/>
      <c r="CA238" s="7"/>
      <c r="CB238" s="7"/>
      <c r="CC238" s="7"/>
      <c r="CD238" s="7"/>
      <c r="CE238" s="7"/>
      <c r="CF238" s="7"/>
      <c r="CG238" s="7"/>
      <c r="CH238" s="7"/>
      <c r="CI238" s="7"/>
      <c r="CJ238" s="7"/>
      <c r="CK238" s="7"/>
      <c r="CL238" s="7"/>
      <c r="CM238" s="7"/>
      <c r="CN238" s="7"/>
      <c r="CO238" s="7"/>
      <c r="CP238" s="7"/>
      <c r="CQ238" s="7"/>
      <c r="CR238" s="7"/>
      <c r="CS238" s="7"/>
      <c r="CT238" s="7"/>
      <c r="CU238" s="7"/>
      <c r="CV238" s="7"/>
      <c r="CW238" s="7"/>
      <c r="CX238" s="7"/>
      <c r="CY238" s="7"/>
      <c r="CZ238" s="7"/>
      <c r="DA238" s="7"/>
      <c r="DB238" s="7"/>
      <c r="DC238" s="7"/>
      <c r="DD238" s="7"/>
      <c r="DE238" s="7"/>
      <c r="DF238" s="7"/>
      <c r="DG238" s="7"/>
      <c r="DH238" s="7"/>
      <c r="DI238" s="7"/>
      <c r="DJ238" s="7"/>
      <c r="DK238" s="7"/>
      <c r="DL238" s="7"/>
      <c r="DM238" s="7"/>
      <c r="DN238" s="7"/>
      <c r="DO238" s="7"/>
      <c r="DP238" s="7"/>
      <c r="DQ238" s="7"/>
      <c r="DR238" s="7"/>
      <c r="DS238" s="7"/>
      <c r="DT238" s="7"/>
      <c r="DU238" s="7"/>
      <c r="DV238" s="7"/>
      <c r="DW238" s="7"/>
      <c r="DX238" s="7"/>
      <c r="DY238" s="7"/>
      <c r="DZ238" s="7"/>
    </row>
    <row r="239" spans="1:130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7"/>
      <c r="BN239" s="7"/>
      <c r="BO239" s="7"/>
      <c r="BP239" s="7"/>
      <c r="BQ239" s="7"/>
      <c r="BR239" s="7"/>
      <c r="BS239" s="7"/>
      <c r="BT239" s="7"/>
      <c r="BU239" s="7"/>
      <c r="BV239" s="7"/>
      <c r="BW239" s="7"/>
      <c r="BX239" s="7"/>
      <c r="BY239" s="7"/>
      <c r="BZ239" s="7"/>
      <c r="CA239" s="7"/>
      <c r="CB239" s="7"/>
      <c r="CC239" s="7"/>
      <c r="CD239" s="7"/>
      <c r="CE239" s="7"/>
      <c r="CF239" s="7"/>
      <c r="CG239" s="7"/>
      <c r="CH239" s="7"/>
      <c r="CI239" s="7"/>
      <c r="CJ239" s="7"/>
      <c r="CK239" s="7"/>
      <c r="CL239" s="7"/>
      <c r="CM239" s="7"/>
      <c r="CN239" s="7"/>
      <c r="CO239" s="7"/>
      <c r="CP239" s="7"/>
      <c r="CQ239" s="7"/>
      <c r="CR239" s="7"/>
      <c r="CS239" s="7"/>
      <c r="CT239" s="7"/>
      <c r="CU239" s="7"/>
      <c r="CV239" s="7"/>
      <c r="CW239" s="7"/>
      <c r="CX239" s="7"/>
      <c r="CY239" s="7"/>
      <c r="CZ239" s="7"/>
      <c r="DA239" s="7"/>
      <c r="DB239" s="7"/>
      <c r="DC239" s="7"/>
      <c r="DD239" s="7"/>
      <c r="DE239" s="7"/>
      <c r="DF239" s="7"/>
      <c r="DG239" s="7"/>
      <c r="DH239" s="7"/>
      <c r="DI239" s="7"/>
      <c r="DJ239" s="7"/>
      <c r="DK239" s="7"/>
      <c r="DL239" s="7"/>
      <c r="DM239" s="7"/>
      <c r="DN239" s="7"/>
      <c r="DO239" s="7"/>
      <c r="DP239" s="7"/>
      <c r="DQ239" s="7"/>
      <c r="DR239" s="7"/>
      <c r="DS239" s="7"/>
      <c r="DT239" s="7"/>
      <c r="DU239" s="7"/>
      <c r="DV239" s="7"/>
      <c r="DW239" s="7"/>
      <c r="DX239" s="7"/>
      <c r="DY239" s="7"/>
      <c r="DZ239" s="7"/>
    </row>
    <row r="240" spans="1:13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7"/>
      <c r="BN240" s="7"/>
      <c r="BO240" s="7"/>
      <c r="BP240" s="7"/>
      <c r="BQ240" s="7"/>
      <c r="BR240" s="7"/>
      <c r="BS240" s="7"/>
      <c r="BT240" s="7"/>
      <c r="BU240" s="7"/>
      <c r="BV240" s="7"/>
      <c r="BW240" s="7"/>
      <c r="BX240" s="7"/>
      <c r="BY240" s="7"/>
      <c r="BZ240" s="7"/>
      <c r="CA240" s="7"/>
      <c r="CB240" s="7"/>
      <c r="CC240" s="7"/>
      <c r="CD240" s="7"/>
      <c r="CE240" s="7"/>
      <c r="CF240" s="7"/>
      <c r="CG240" s="7"/>
      <c r="CH240" s="7"/>
      <c r="CI240" s="7"/>
      <c r="CJ240" s="7"/>
      <c r="CK240" s="7"/>
      <c r="CL240" s="7"/>
      <c r="CM240" s="7"/>
      <c r="CN240" s="7"/>
      <c r="CO240" s="7"/>
      <c r="CP240" s="7"/>
      <c r="CQ240" s="7"/>
      <c r="CR240" s="7"/>
      <c r="CS240" s="7"/>
      <c r="CT240" s="7"/>
      <c r="CU240" s="7"/>
      <c r="CV240" s="7"/>
      <c r="CW240" s="7"/>
      <c r="CX240" s="7"/>
      <c r="CY240" s="7"/>
      <c r="CZ240" s="7"/>
      <c r="DA240" s="7"/>
      <c r="DB240" s="7"/>
      <c r="DC240" s="7"/>
      <c r="DD240" s="7"/>
      <c r="DE240" s="7"/>
      <c r="DF240" s="7"/>
      <c r="DG240" s="7"/>
      <c r="DH240" s="7"/>
      <c r="DI240" s="7"/>
      <c r="DJ240" s="7"/>
      <c r="DK240" s="7"/>
      <c r="DL240" s="7"/>
      <c r="DM240" s="7"/>
      <c r="DN240" s="7"/>
      <c r="DO240" s="7"/>
      <c r="DP240" s="7"/>
      <c r="DQ240" s="7"/>
      <c r="DR240" s="7"/>
      <c r="DS240" s="7"/>
      <c r="DT240" s="7"/>
      <c r="DU240" s="7"/>
      <c r="DV240" s="7"/>
      <c r="DW240" s="7"/>
      <c r="DX240" s="7"/>
      <c r="DY240" s="7"/>
      <c r="DZ240" s="7"/>
    </row>
    <row r="241" spans="1:130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7"/>
      <c r="BN241" s="7"/>
      <c r="BO241" s="7"/>
      <c r="BP241" s="7"/>
      <c r="BQ241" s="7"/>
      <c r="BR241" s="7"/>
      <c r="BS241" s="7"/>
      <c r="BT241" s="7"/>
      <c r="BU241" s="7"/>
      <c r="BV241" s="7"/>
      <c r="BW241" s="7"/>
      <c r="BX241" s="7"/>
      <c r="BY241" s="7"/>
      <c r="BZ241" s="7"/>
      <c r="CA241" s="7"/>
      <c r="CB241" s="7"/>
      <c r="CC241" s="7"/>
      <c r="CD241" s="7"/>
      <c r="CE241" s="7"/>
      <c r="CF241" s="7"/>
      <c r="CG241" s="7"/>
      <c r="CH241" s="7"/>
      <c r="CI241" s="7"/>
      <c r="CJ241" s="7"/>
      <c r="CK241" s="7"/>
      <c r="CL241" s="7"/>
      <c r="CM241" s="7"/>
      <c r="CN241" s="7"/>
      <c r="CO241" s="7"/>
      <c r="CP241" s="7"/>
      <c r="CQ241" s="7"/>
      <c r="CR241" s="7"/>
      <c r="CS241" s="7"/>
      <c r="CT241" s="7"/>
      <c r="CU241" s="7"/>
      <c r="CV241" s="7"/>
      <c r="CW241" s="7"/>
      <c r="CX241" s="7"/>
      <c r="CY241" s="7"/>
      <c r="CZ241" s="7"/>
      <c r="DA241" s="7"/>
      <c r="DB241" s="7"/>
      <c r="DC241" s="7"/>
      <c r="DD241" s="7"/>
      <c r="DE241" s="7"/>
      <c r="DF241" s="7"/>
      <c r="DG241" s="7"/>
      <c r="DH241" s="7"/>
      <c r="DI241" s="7"/>
      <c r="DJ241" s="7"/>
      <c r="DK241" s="7"/>
      <c r="DL241" s="7"/>
      <c r="DM241" s="7"/>
      <c r="DN241" s="7"/>
      <c r="DO241" s="7"/>
      <c r="DP241" s="7"/>
      <c r="DQ241" s="7"/>
      <c r="DR241" s="7"/>
      <c r="DS241" s="7"/>
      <c r="DT241" s="7"/>
      <c r="DU241" s="7"/>
      <c r="DV241" s="7"/>
      <c r="DW241" s="7"/>
      <c r="DX241" s="7"/>
      <c r="DY241" s="7"/>
      <c r="DZ241" s="7"/>
    </row>
    <row r="242" spans="1:130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7"/>
      <c r="BN242" s="7"/>
      <c r="BO242" s="7"/>
      <c r="BP242" s="7"/>
      <c r="BQ242" s="7"/>
      <c r="BR242" s="7"/>
      <c r="BS242" s="7"/>
      <c r="BT242" s="7"/>
      <c r="BU242" s="7"/>
      <c r="BV242" s="7"/>
      <c r="BW242" s="7"/>
      <c r="BX242" s="7"/>
      <c r="BY242" s="7"/>
      <c r="BZ242" s="7"/>
      <c r="CA242" s="7"/>
      <c r="CB242" s="7"/>
      <c r="CC242" s="7"/>
      <c r="CD242" s="7"/>
      <c r="CE242" s="7"/>
      <c r="CF242" s="7"/>
      <c r="CG242" s="7"/>
      <c r="CH242" s="7"/>
      <c r="CI242" s="7"/>
      <c r="CJ242" s="7"/>
      <c r="CK242" s="7"/>
      <c r="CL242" s="7"/>
      <c r="CM242" s="7"/>
      <c r="CN242" s="7"/>
      <c r="CO242" s="7"/>
      <c r="CP242" s="7"/>
      <c r="CQ242" s="7"/>
      <c r="CR242" s="7"/>
      <c r="CS242" s="7"/>
      <c r="CT242" s="7"/>
      <c r="CU242" s="7"/>
      <c r="CV242" s="7"/>
      <c r="CW242" s="7"/>
      <c r="CX242" s="7"/>
      <c r="CY242" s="7"/>
      <c r="CZ242" s="7"/>
      <c r="DA242" s="7"/>
      <c r="DB242" s="7"/>
      <c r="DC242" s="7"/>
      <c r="DD242" s="7"/>
      <c r="DE242" s="7"/>
      <c r="DF242" s="7"/>
      <c r="DG242" s="7"/>
      <c r="DH242" s="7"/>
      <c r="DI242" s="7"/>
      <c r="DJ242" s="7"/>
      <c r="DK242" s="7"/>
      <c r="DL242" s="7"/>
      <c r="DM242" s="7"/>
      <c r="DN242" s="7"/>
      <c r="DO242" s="7"/>
      <c r="DP242" s="7"/>
      <c r="DQ242" s="7"/>
      <c r="DR242" s="7"/>
      <c r="DS242" s="7"/>
      <c r="DT242" s="7"/>
      <c r="DU242" s="7"/>
      <c r="DV242" s="7"/>
      <c r="DW242" s="7"/>
      <c r="DX242" s="7"/>
      <c r="DY242" s="7"/>
      <c r="DZ242" s="7"/>
    </row>
    <row r="243" spans="1:130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7"/>
      <c r="BN243" s="7"/>
      <c r="BO243" s="7"/>
      <c r="BP243" s="7"/>
      <c r="BQ243" s="7"/>
      <c r="BR243" s="7"/>
      <c r="BS243" s="7"/>
      <c r="BT243" s="7"/>
      <c r="BU243" s="7"/>
      <c r="BV243" s="7"/>
      <c r="BW243" s="7"/>
      <c r="BX243" s="7"/>
      <c r="BY243" s="7"/>
      <c r="BZ243" s="7"/>
      <c r="CA243" s="7"/>
      <c r="CB243" s="7"/>
      <c r="CC243" s="7"/>
      <c r="CD243" s="7"/>
      <c r="CE243" s="7"/>
      <c r="CF243" s="7"/>
      <c r="CG243" s="7"/>
      <c r="CH243" s="7"/>
      <c r="CI243" s="7"/>
      <c r="CJ243" s="7"/>
      <c r="CK243" s="7"/>
      <c r="CL243" s="7"/>
      <c r="CM243" s="7"/>
      <c r="CN243" s="7"/>
      <c r="CO243" s="7"/>
      <c r="CP243" s="7"/>
      <c r="CQ243" s="7"/>
      <c r="CR243" s="7"/>
      <c r="CS243" s="7"/>
      <c r="CT243" s="7"/>
      <c r="CU243" s="7"/>
      <c r="CV243" s="7"/>
      <c r="CW243" s="7"/>
      <c r="CX243" s="7"/>
      <c r="CY243" s="7"/>
      <c r="CZ243" s="7"/>
      <c r="DA243" s="7"/>
      <c r="DB243" s="7"/>
      <c r="DC243" s="7"/>
      <c r="DD243" s="7"/>
      <c r="DE243" s="7"/>
      <c r="DF243" s="7"/>
      <c r="DG243" s="7"/>
      <c r="DH243" s="7"/>
      <c r="DI243" s="7"/>
      <c r="DJ243" s="7"/>
      <c r="DK243" s="7"/>
      <c r="DL243" s="7"/>
      <c r="DM243" s="7"/>
      <c r="DN243" s="7"/>
      <c r="DO243" s="7"/>
      <c r="DP243" s="7"/>
      <c r="DQ243" s="7"/>
      <c r="DR243" s="7"/>
      <c r="DS243" s="7"/>
      <c r="DT243" s="7"/>
      <c r="DU243" s="7"/>
      <c r="DV243" s="7"/>
      <c r="DW243" s="7"/>
      <c r="DX243" s="7"/>
      <c r="DY243" s="7"/>
      <c r="DZ243" s="7"/>
    </row>
    <row r="244" spans="1:130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7"/>
      <c r="BN244" s="7"/>
      <c r="BO244" s="7"/>
      <c r="BP244" s="7"/>
      <c r="BQ244" s="7"/>
      <c r="BR244" s="7"/>
      <c r="BS244" s="7"/>
      <c r="BT244" s="7"/>
      <c r="BU244" s="7"/>
      <c r="BV244" s="7"/>
      <c r="BW244" s="7"/>
      <c r="BX244" s="7"/>
      <c r="BY244" s="7"/>
      <c r="BZ244" s="7"/>
      <c r="CA244" s="7"/>
      <c r="CB244" s="7"/>
      <c r="CC244" s="7"/>
      <c r="CD244" s="7"/>
      <c r="CE244" s="7"/>
      <c r="CF244" s="7"/>
      <c r="CG244" s="7"/>
      <c r="CH244" s="7"/>
      <c r="CI244" s="7"/>
      <c r="CJ244" s="7"/>
      <c r="CK244" s="7"/>
      <c r="CL244" s="7"/>
      <c r="CM244" s="7"/>
      <c r="CN244" s="7"/>
      <c r="CO244" s="7"/>
      <c r="CP244" s="7"/>
      <c r="CQ244" s="7"/>
      <c r="CR244" s="7"/>
      <c r="CS244" s="7"/>
      <c r="CT244" s="7"/>
      <c r="CU244" s="7"/>
      <c r="CV244" s="7"/>
      <c r="CW244" s="7"/>
      <c r="CX244" s="7"/>
      <c r="CY244" s="7"/>
      <c r="CZ244" s="7"/>
      <c r="DA244" s="7"/>
      <c r="DB244" s="7"/>
      <c r="DC244" s="7"/>
      <c r="DD244" s="7"/>
      <c r="DE244" s="7"/>
      <c r="DF244" s="7"/>
      <c r="DG244" s="7"/>
      <c r="DH244" s="7"/>
      <c r="DI244" s="7"/>
      <c r="DJ244" s="7"/>
      <c r="DK244" s="7"/>
      <c r="DL244" s="7"/>
      <c r="DM244" s="7"/>
      <c r="DN244" s="7"/>
      <c r="DO244" s="7"/>
      <c r="DP244" s="7"/>
      <c r="DQ244" s="7"/>
      <c r="DR244" s="7"/>
      <c r="DS244" s="7"/>
      <c r="DT244" s="7"/>
      <c r="DU244" s="7"/>
      <c r="DV244" s="7"/>
      <c r="DW244" s="7"/>
      <c r="DX244" s="7"/>
      <c r="DY244" s="7"/>
      <c r="DZ244" s="7"/>
    </row>
    <row r="245" spans="1:130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7"/>
      <c r="BN245" s="7"/>
      <c r="BO245" s="7"/>
      <c r="BP245" s="7"/>
      <c r="BQ245" s="7"/>
      <c r="BR245" s="7"/>
      <c r="BS245" s="7"/>
      <c r="BT245" s="7"/>
      <c r="BU245" s="7"/>
      <c r="BV245" s="7"/>
      <c r="BW245" s="7"/>
      <c r="BX245" s="7"/>
      <c r="BY245" s="7"/>
      <c r="BZ245" s="7"/>
      <c r="CA245" s="7"/>
      <c r="CB245" s="7"/>
      <c r="CC245" s="7"/>
      <c r="CD245" s="7"/>
      <c r="CE245" s="7"/>
      <c r="CF245" s="7"/>
      <c r="CG245" s="7"/>
      <c r="CH245" s="7"/>
      <c r="CI245" s="7"/>
      <c r="CJ245" s="7"/>
      <c r="CK245" s="7"/>
      <c r="CL245" s="7"/>
      <c r="CM245" s="7"/>
      <c r="CN245" s="7"/>
      <c r="CO245" s="7"/>
      <c r="CP245" s="7"/>
      <c r="CQ245" s="7"/>
      <c r="CR245" s="7"/>
      <c r="CS245" s="7"/>
      <c r="CT245" s="7"/>
      <c r="CU245" s="7"/>
      <c r="CV245" s="7"/>
      <c r="CW245" s="7"/>
      <c r="CX245" s="7"/>
      <c r="CY245" s="7"/>
      <c r="CZ245" s="7"/>
      <c r="DA245" s="7"/>
      <c r="DB245" s="7"/>
      <c r="DC245" s="7"/>
      <c r="DD245" s="7"/>
      <c r="DE245" s="7"/>
      <c r="DF245" s="7"/>
      <c r="DG245" s="7"/>
      <c r="DH245" s="7"/>
      <c r="DI245" s="7"/>
      <c r="DJ245" s="7"/>
      <c r="DK245" s="7"/>
      <c r="DL245" s="7"/>
      <c r="DM245" s="7"/>
      <c r="DN245" s="7"/>
      <c r="DO245" s="7"/>
      <c r="DP245" s="7"/>
      <c r="DQ245" s="7"/>
      <c r="DR245" s="7"/>
      <c r="DS245" s="7"/>
      <c r="DT245" s="7"/>
      <c r="DU245" s="7"/>
      <c r="DV245" s="7"/>
      <c r="DW245" s="7"/>
      <c r="DX245" s="7"/>
      <c r="DY245" s="7"/>
      <c r="DZ245" s="7"/>
    </row>
    <row r="246" spans="1:130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  <c r="BN246" s="7"/>
      <c r="BO246" s="7"/>
      <c r="BP246" s="7"/>
      <c r="BQ246" s="7"/>
      <c r="BR246" s="7"/>
      <c r="BS246" s="7"/>
      <c r="BT246" s="7"/>
      <c r="BU246" s="7"/>
      <c r="BV246" s="7"/>
      <c r="BW246" s="7"/>
      <c r="BX246" s="7"/>
      <c r="BY246" s="7"/>
      <c r="BZ246" s="7"/>
      <c r="CA246" s="7"/>
      <c r="CB246" s="7"/>
      <c r="CC246" s="7"/>
      <c r="CD246" s="7"/>
      <c r="CE246" s="7"/>
      <c r="CF246" s="7"/>
      <c r="CG246" s="7"/>
      <c r="CH246" s="7"/>
      <c r="CI246" s="7"/>
      <c r="CJ246" s="7"/>
      <c r="CK246" s="7"/>
      <c r="CL246" s="7"/>
      <c r="CM246" s="7"/>
      <c r="CN246" s="7"/>
      <c r="CO246" s="7"/>
      <c r="CP246" s="7"/>
      <c r="CQ246" s="7"/>
      <c r="CR246" s="7"/>
      <c r="CS246" s="7"/>
      <c r="CT246" s="7"/>
      <c r="CU246" s="7"/>
      <c r="CV246" s="7"/>
      <c r="CW246" s="7"/>
      <c r="CX246" s="7"/>
      <c r="CY246" s="7"/>
      <c r="CZ246" s="7"/>
      <c r="DA246" s="7"/>
      <c r="DB246" s="7"/>
      <c r="DC246" s="7"/>
      <c r="DD246" s="7"/>
      <c r="DE246" s="7"/>
      <c r="DF246" s="7"/>
      <c r="DG246" s="7"/>
      <c r="DH246" s="7"/>
      <c r="DI246" s="7"/>
      <c r="DJ246" s="7"/>
      <c r="DK246" s="7"/>
      <c r="DL246" s="7"/>
      <c r="DM246" s="7"/>
      <c r="DN246" s="7"/>
      <c r="DO246" s="7"/>
      <c r="DP246" s="7"/>
      <c r="DQ246" s="7"/>
      <c r="DR246" s="7"/>
      <c r="DS246" s="7"/>
      <c r="DT246" s="7"/>
      <c r="DU246" s="7"/>
      <c r="DV246" s="7"/>
      <c r="DW246" s="7"/>
      <c r="DX246" s="7"/>
      <c r="DY246" s="7"/>
      <c r="DZ246" s="7"/>
    </row>
    <row r="247" spans="1:130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7"/>
      <c r="BN247" s="7"/>
      <c r="BO247" s="7"/>
      <c r="BP247" s="7"/>
      <c r="BQ247" s="7"/>
      <c r="BR247" s="7"/>
      <c r="BS247" s="7"/>
      <c r="BT247" s="7"/>
      <c r="BU247" s="7"/>
      <c r="BV247" s="7"/>
      <c r="BW247" s="7"/>
      <c r="BX247" s="7"/>
      <c r="BY247" s="7"/>
      <c r="BZ247" s="7"/>
      <c r="CA247" s="7"/>
      <c r="CB247" s="7"/>
      <c r="CC247" s="7"/>
      <c r="CD247" s="7"/>
      <c r="CE247" s="7"/>
      <c r="CF247" s="7"/>
      <c r="CG247" s="7"/>
      <c r="CH247" s="7"/>
      <c r="CI247" s="7"/>
      <c r="CJ247" s="7"/>
      <c r="CK247" s="7"/>
      <c r="CL247" s="7"/>
      <c r="CM247" s="7"/>
      <c r="CN247" s="7"/>
      <c r="CO247" s="7"/>
      <c r="CP247" s="7"/>
      <c r="CQ247" s="7"/>
      <c r="CR247" s="7"/>
      <c r="CS247" s="7"/>
      <c r="CT247" s="7"/>
      <c r="CU247" s="7"/>
      <c r="CV247" s="7"/>
      <c r="CW247" s="7"/>
      <c r="CX247" s="7"/>
      <c r="CY247" s="7"/>
      <c r="CZ247" s="7"/>
      <c r="DA247" s="7"/>
      <c r="DB247" s="7"/>
      <c r="DC247" s="7"/>
      <c r="DD247" s="7"/>
      <c r="DE247" s="7"/>
      <c r="DF247" s="7"/>
      <c r="DG247" s="7"/>
      <c r="DH247" s="7"/>
      <c r="DI247" s="7"/>
      <c r="DJ247" s="7"/>
      <c r="DK247" s="7"/>
      <c r="DL247" s="7"/>
      <c r="DM247" s="7"/>
      <c r="DN247" s="7"/>
      <c r="DO247" s="7"/>
      <c r="DP247" s="7"/>
      <c r="DQ247" s="7"/>
      <c r="DR247" s="7"/>
      <c r="DS247" s="7"/>
      <c r="DT247" s="7"/>
      <c r="DU247" s="7"/>
      <c r="DV247" s="7"/>
      <c r="DW247" s="7"/>
      <c r="DX247" s="7"/>
      <c r="DY247" s="7"/>
      <c r="DZ247" s="7"/>
    </row>
    <row r="248" spans="1:130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7"/>
      <c r="BN248" s="7"/>
      <c r="BO248" s="7"/>
      <c r="BP248" s="7"/>
      <c r="BQ248" s="7"/>
      <c r="BR248" s="7"/>
      <c r="BS248" s="7"/>
      <c r="BT248" s="7"/>
      <c r="BU248" s="7"/>
      <c r="BV248" s="7"/>
      <c r="BW248" s="7"/>
      <c r="BX248" s="7"/>
      <c r="BY248" s="7"/>
      <c r="BZ248" s="7"/>
      <c r="CA248" s="7"/>
      <c r="CB248" s="7"/>
      <c r="CC248" s="7"/>
      <c r="CD248" s="7"/>
      <c r="CE248" s="7"/>
      <c r="CF248" s="7"/>
      <c r="CG248" s="7"/>
      <c r="CH248" s="7"/>
      <c r="CI248" s="7"/>
      <c r="CJ248" s="7"/>
      <c r="CK248" s="7"/>
      <c r="CL248" s="7"/>
      <c r="CM248" s="7"/>
      <c r="CN248" s="7"/>
      <c r="CO248" s="7"/>
      <c r="CP248" s="7"/>
      <c r="CQ248" s="7"/>
      <c r="CR248" s="7"/>
      <c r="CS248" s="7"/>
      <c r="CT248" s="7"/>
      <c r="CU248" s="7"/>
      <c r="CV248" s="7"/>
      <c r="CW248" s="7"/>
      <c r="CX248" s="7"/>
      <c r="CY248" s="7"/>
      <c r="CZ248" s="7"/>
      <c r="DA248" s="7"/>
      <c r="DB248" s="7"/>
      <c r="DC248" s="7"/>
      <c r="DD248" s="7"/>
      <c r="DE248" s="7"/>
      <c r="DF248" s="7"/>
      <c r="DG248" s="7"/>
      <c r="DH248" s="7"/>
      <c r="DI248" s="7"/>
      <c r="DJ248" s="7"/>
      <c r="DK248" s="7"/>
      <c r="DL248" s="7"/>
      <c r="DM248" s="7"/>
      <c r="DN248" s="7"/>
      <c r="DO248" s="7"/>
      <c r="DP248" s="7"/>
      <c r="DQ248" s="7"/>
      <c r="DR248" s="7"/>
      <c r="DS248" s="7"/>
      <c r="DT248" s="7"/>
      <c r="DU248" s="7"/>
      <c r="DV248" s="7"/>
      <c r="DW248" s="7"/>
      <c r="DX248" s="7"/>
      <c r="DY248" s="7"/>
      <c r="DZ248" s="7"/>
    </row>
    <row r="249" spans="1:130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7"/>
      <c r="BN249" s="7"/>
      <c r="BO249" s="7"/>
      <c r="BP249" s="7"/>
      <c r="BQ249" s="7"/>
      <c r="BR249" s="7"/>
      <c r="BS249" s="7"/>
      <c r="BT249" s="7"/>
      <c r="BU249" s="7"/>
      <c r="BV249" s="7"/>
      <c r="BW249" s="7"/>
      <c r="BX249" s="7"/>
      <c r="BY249" s="7"/>
      <c r="BZ249" s="7"/>
      <c r="CA249" s="7"/>
      <c r="CB249" s="7"/>
      <c r="CC249" s="7"/>
      <c r="CD249" s="7"/>
      <c r="CE249" s="7"/>
      <c r="CF249" s="7"/>
      <c r="CG249" s="7"/>
      <c r="CH249" s="7"/>
      <c r="CI249" s="7"/>
      <c r="CJ249" s="7"/>
      <c r="CK249" s="7"/>
      <c r="CL249" s="7"/>
      <c r="CM249" s="7"/>
      <c r="CN249" s="7"/>
      <c r="CO249" s="7"/>
      <c r="CP249" s="7"/>
      <c r="CQ249" s="7"/>
      <c r="CR249" s="7"/>
      <c r="CS249" s="7"/>
      <c r="CT249" s="7"/>
      <c r="CU249" s="7"/>
      <c r="CV249" s="7"/>
      <c r="CW249" s="7"/>
      <c r="CX249" s="7"/>
      <c r="CY249" s="7"/>
      <c r="CZ249" s="7"/>
      <c r="DA249" s="7"/>
      <c r="DB249" s="7"/>
      <c r="DC249" s="7"/>
      <c r="DD249" s="7"/>
      <c r="DE249" s="7"/>
      <c r="DF249" s="7"/>
      <c r="DG249" s="7"/>
      <c r="DH249" s="7"/>
      <c r="DI249" s="7"/>
      <c r="DJ249" s="7"/>
      <c r="DK249" s="7"/>
      <c r="DL249" s="7"/>
      <c r="DM249" s="7"/>
      <c r="DN249" s="7"/>
      <c r="DO249" s="7"/>
      <c r="DP249" s="7"/>
      <c r="DQ249" s="7"/>
      <c r="DR249" s="7"/>
      <c r="DS249" s="7"/>
      <c r="DT249" s="7"/>
      <c r="DU249" s="7"/>
      <c r="DV249" s="7"/>
      <c r="DW249" s="7"/>
      <c r="DX249" s="7"/>
      <c r="DY249" s="7"/>
      <c r="DZ249" s="7"/>
    </row>
    <row r="250" spans="1:13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7"/>
      <c r="BN250" s="7"/>
      <c r="BO250" s="7"/>
      <c r="BP250" s="7"/>
      <c r="BQ250" s="7"/>
      <c r="BR250" s="7"/>
      <c r="BS250" s="7"/>
      <c r="BT250" s="7"/>
      <c r="BU250" s="7"/>
      <c r="BV250" s="7"/>
      <c r="BW250" s="7"/>
      <c r="BX250" s="7"/>
      <c r="BY250" s="7"/>
      <c r="BZ250" s="7"/>
      <c r="CA250" s="7"/>
      <c r="CB250" s="7"/>
      <c r="CC250" s="7"/>
      <c r="CD250" s="7"/>
      <c r="CE250" s="7"/>
      <c r="CF250" s="7"/>
      <c r="CG250" s="7"/>
      <c r="CH250" s="7"/>
      <c r="CI250" s="7"/>
      <c r="CJ250" s="7"/>
      <c r="CK250" s="7"/>
      <c r="CL250" s="7"/>
      <c r="CM250" s="7"/>
      <c r="CN250" s="7"/>
      <c r="CO250" s="7"/>
      <c r="CP250" s="7"/>
      <c r="CQ250" s="7"/>
      <c r="CR250" s="7"/>
      <c r="CS250" s="7"/>
      <c r="CT250" s="7"/>
      <c r="CU250" s="7"/>
      <c r="CV250" s="7"/>
      <c r="CW250" s="7"/>
      <c r="CX250" s="7"/>
      <c r="CY250" s="7"/>
      <c r="CZ250" s="7"/>
      <c r="DA250" s="7"/>
      <c r="DB250" s="7"/>
      <c r="DC250" s="7"/>
      <c r="DD250" s="7"/>
      <c r="DE250" s="7"/>
      <c r="DF250" s="7"/>
      <c r="DG250" s="7"/>
      <c r="DH250" s="7"/>
      <c r="DI250" s="7"/>
      <c r="DJ250" s="7"/>
      <c r="DK250" s="7"/>
      <c r="DL250" s="7"/>
      <c r="DM250" s="7"/>
      <c r="DN250" s="7"/>
      <c r="DO250" s="7"/>
      <c r="DP250" s="7"/>
      <c r="DQ250" s="7"/>
      <c r="DR250" s="7"/>
      <c r="DS250" s="7"/>
      <c r="DT250" s="7"/>
      <c r="DU250" s="7"/>
      <c r="DV250" s="7"/>
      <c r="DW250" s="7"/>
      <c r="DX250" s="7"/>
      <c r="DY250" s="7"/>
      <c r="DZ250" s="7"/>
    </row>
    <row r="251" spans="1:130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7"/>
      <c r="BN251" s="7"/>
      <c r="BO251" s="7"/>
      <c r="BP251" s="7"/>
      <c r="BQ251" s="7"/>
      <c r="BR251" s="7"/>
      <c r="BS251" s="7"/>
      <c r="BT251" s="7"/>
      <c r="BU251" s="7"/>
      <c r="BV251" s="7"/>
      <c r="BW251" s="7"/>
      <c r="BX251" s="7"/>
      <c r="BY251" s="7"/>
      <c r="BZ251" s="7"/>
      <c r="CA251" s="7"/>
      <c r="CB251" s="7"/>
      <c r="CC251" s="7"/>
      <c r="CD251" s="7"/>
      <c r="CE251" s="7"/>
      <c r="CF251" s="7"/>
      <c r="CG251" s="7"/>
      <c r="CH251" s="7"/>
      <c r="CI251" s="7"/>
      <c r="CJ251" s="7"/>
      <c r="CK251" s="7"/>
      <c r="CL251" s="7"/>
      <c r="CM251" s="7"/>
      <c r="CN251" s="7"/>
      <c r="CO251" s="7"/>
      <c r="CP251" s="7"/>
      <c r="CQ251" s="7"/>
      <c r="CR251" s="7"/>
      <c r="CS251" s="7"/>
      <c r="CT251" s="7"/>
      <c r="CU251" s="7"/>
      <c r="CV251" s="7"/>
      <c r="CW251" s="7"/>
      <c r="CX251" s="7"/>
      <c r="CY251" s="7"/>
      <c r="CZ251" s="7"/>
      <c r="DA251" s="7"/>
      <c r="DB251" s="7"/>
      <c r="DC251" s="7"/>
      <c r="DD251" s="7"/>
      <c r="DE251" s="7"/>
      <c r="DF251" s="7"/>
      <c r="DG251" s="7"/>
      <c r="DH251" s="7"/>
      <c r="DI251" s="7"/>
      <c r="DJ251" s="7"/>
      <c r="DK251" s="7"/>
      <c r="DL251" s="7"/>
      <c r="DM251" s="7"/>
      <c r="DN251" s="7"/>
      <c r="DO251" s="7"/>
      <c r="DP251" s="7"/>
      <c r="DQ251" s="7"/>
      <c r="DR251" s="7"/>
      <c r="DS251" s="7"/>
      <c r="DT251" s="7"/>
      <c r="DU251" s="7"/>
      <c r="DV251" s="7"/>
      <c r="DW251" s="7"/>
      <c r="DX251" s="7"/>
      <c r="DY251" s="7"/>
      <c r="DZ251" s="7"/>
    </row>
    <row r="252" spans="1:130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7"/>
      <c r="BN252" s="7"/>
      <c r="BO252" s="7"/>
      <c r="BP252" s="7"/>
      <c r="BQ252" s="7"/>
      <c r="BR252" s="7"/>
      <c r="BS252" s="7"/>
      <c r="BT252" s="7"/>
      <c r="BU252" s="7"/>
      <c r="BV252" s="7"/>
      <c r="BW252" s="7"/>
      <c r="BX252" s="7"/>
      <c r="BY252" s="7"/>
      <c r="BZ252" s="7"/>
      <c r="CA252" s="7"/>
      <c r="CB252" s="7"/>
      <c r="CC252" s="7"/>
      <c r="CD252" s="7"/>
      <c r="CE252" s="7"/>
      <c r="CF252" s="7"/>
      <c r="CG252" s="7"/>
      <c r="CH252" s="7"/>
      <c r="CI252" s="7"/>
      <c r="CJ252" s="7"/>
      <c r="CK252" s="7"/>
      <c r="CL252" s="7"/>
      <c r="CM252" s="7"/>
      <c r="CN252" s="7"/>
      <c r="CO252" s="7"/>
      <c r="CP252" s="7"/>
      <c r="CQ252" s="7"/>
      <c r="CR252" s="7"/>
      <c r="CS252" s="7"/>
      <c r="CT252" s="7"/>
      <c r="CU252" s="7"/>
      <c r="CV252" s="7"/>
      <c r="CW252" s="7"/>
      <c r="CX252" s="7"/>
      <c r="CY252" s="7"/>
      <c r="CZ252" s="7"/>
      <c r="DA252" s="7"/>
      <c r="DB252" s="7"/>
      <c r="DC252" s="7"/>
      <c r="DD252" s="7"/>
      <c r="DE252" s="7"/>
      <c r="DF252" s="7"/>
      <c r="DG252" s="7"/>
      <c r="DH252" s="7"/>
      <c r="DI252" s="7"/>
      <c r="DJ252" s="7"/>
      <c r="DK252" s="7"/>
      <c r="DL252" s="7"/>
      <c r="DM252" s="7"/>
      <c r="DN252" s="7"/>
      <c r="DO252" s="7"/>
      <c r="DP252" s="7"/>
      <c r="DQ252" s="7"/>
      <c r="DR252" s="7"/>
      <c r="DS252" s="7"/>
      <c r="DT252" s="7"/>
      <c r="DU252" s="7"/>
      <c r="DV252" s="7"/>
      <c r="DW252" s="7"/>
      <c r="DX252" s="7"/>
      <c r="DY252" s="7"/>
      <c r="DZ252" s="7"/>
    </row>
    <row r="253" spans="1:130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7"/>
      <c r="BN253" s="7"/>
      <c r="BO253" s="7"/>
      <c r="BP253" s="7"/>
      <c r="BQ253" s="7"/>
      <c r="BR253" s="7"/>
      <c r="BS253" s="7"/>
      <c r="BT253" s="7"/>
      <c r="BU253" s="7"/>
      <c r="BV253" s="7"/>
      <c r="BW253" s="7"/>
      <c r="BX253" s="7"/>
      <c r="BY253" s="7"/>
      <c r="BZ253" s="7"/>
      <c r="CA253" s="7"/>
      <c r="CB253" s="7"/>
      <c r="CC253" s="7"/>
      <c r="CD253" s="7"/>
      <c r="CE253" s="7"/>
      <c r="CF253" s="7"/>
      <c r="CG253" s="7"/>
      <c r="CH253" s="7"/>
      <c r="CI253" s="7"/>
      <c r="CJ253" s="7"/>
      <c r="CK253" s="7"/>
      <c r="CL253" s="7"/>
      <c r="CM253" s="7"/>
      <c r="CN253" s="7"/>
      <c r="CO253" s="7"/>
      <c r="CP253" s="7"/>
      <c r="CQ253" s="7"/>
      <c r="CR253" s="7"/>
      <c r="CS253" s="7"/>
      <c r="CT253" s="7"/>
      <c r="CU253" s="7"/>
      <c r="CV253" s="7"/>
      <c r="CW253" s="7"/>
      <c r="CX253" s="7"/>
      <c r="CY253" s="7"/>
      <c r="CZ253" s="7"/>
      <c r="DA253" s="7"/>
      <c r="DB253" s="7"/>
      <c r="DC253" s="7"/>
      <c r="DD253" s="7"/>
      <c r="DE253" s="7"/>
      <c r="DF253" s="7"/>
      <c r="DG253" s="7"/>
      <c r="DH253" s="7"/>
      <c r="DI253" s="7"/>
      <c r="DJ253" s="7"/>
      <c r="DK253" s="7"/>
      <c r="DL253" s="7"/>
      <c r="DM253" s="7"/>
      <c r="DN253" s="7"/>
      <c r="DO253" s="7"/>
      <c r="DP253" s="7"/>
      <c r="DQ253" s="7"/>
      <c r="DR253" s="7"/>
      <c r="DS253" s="7"/>
      <c r="DT253" s="7"/>
      <c r="DU253" s="7"/>
      <c r="DV253" s="7"/>
      <c r="DW253" s="7"/>
      <c r="DX253" s="7"/>
      <c r="DY253" s="7"/>
      <c r="DZ253" s="7"/>
    </row>
    <row r="254" spans="1:130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7"/>
      <c r="BN254" s="7"/>
      <c r="BO254" s="7"/>
      <c r="BP254" s="7"/>
      <c r="BQ254" s="7"/>
      <c r="BR254" s="7"/>
      <c r="BS254" s="7"/>
      <c r="BT254" s="7"/>
      <c r="BU254" s="7"/>
      <c r="BV254" s="7"/>
      <c r="BW254" s="7"/>
      <c r="BX254" s="7"/>
      <c r="BY254" s="7"/>
      <c r="BZ254" s="7"/>
      <c r="CA254" s="7"/>
      <c r="CB254" s="7"/>
      <c r="CC254" s="7"/>
      <c r="CD254" s="7"/>
      <c r="CE254" s="7"/>
      <c r="CF254" s="7"/>
      <c r="CG254" s="7"/>
      <c r="CH254" s="7"/>
      <c r="CI254" s="7"/>
      <c r="CJ254" s="7"/>
      <c r="CK254" s="7"/>
      <c r="CL254" s="7"/>
      <c r="CM254" s="7"/>
      <c r="CN254" s="7"/>
      <c r="CO254" s="7"/>
      <c r="CP254" s="7"/>
      <c r="CQ254" s="7"/>
      <c r="CR254" s="7"/>
      <c r="CS254" s="7"/>
      <c r="CT254" s="7"/>
      <c r="CU254" s="7"/>
      <c r="CV254" s="7"/>
      <c r="CW254" s="7"/>
      <c r="CX254" s="7"/>
      <c r="CY254" s="7"/>
      <c r="CZ254" s="7"/>
      <c r="DA254" s="7"/>
      <c r="DB254" s="7"/>
      <c r="DC254" s="7"/>
      <c r="DD254" s="7"/>
      <c r="DE254" s="7"/>
      <c r="DF254" s="7"/>
      <c r="DG254" s="7"/>
      <c r="DH254" s="7"/>
      <c r="DI254" s="7"/>
      <c r="DJ254" s="7"/>
      <c r="DK254" s="7"/>
      <c r="DL254" s="7"/>
      <c r="DM254" s="7"/>
      <c r="DN254" s="7"/>
      <c r="DO254" s="7"/>
      <c r="DP254" s="7"/>
      <c r="DQ254" s="7"/>
      <c r="DR254" s="7"/>
      <c r="DS254" s="7"/>
      <c r="DT254" s="7"/>
      <c r="DU254" s="7"/>
      <c r="DV254" s="7"/>
      <c r="DW254" s="7"/>
      <c r="DX254" s="7"/>
      <c r="DY254" s="7"/>
      <c r="DZ254" s="7"/>
    </row>
    <row r="255" spans="1:130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7"/>
      <c r="BN255" s="7"/>
      <c r="BO255" s="7"/>
      <c r="BP255" s="7"/>
      <c r="BQ255" s="7"/>
      <c r="BR255" s="7"/>
      <c r="BS255" s="7"/>
      <c r="BT255" s="7"/>
      <c r="BU255" s="7"/>
      <c r="BV255" s="7"/>
      <c r="BW255" s="7"/>
      <c r="BX255" s="7"/>
      <c r="BY255" s="7"/>
      <c r="BZ255" s="7"/>
      <c r="CA255" s="7"/>
      <c r="CB255" s="7"/>
      <c r="CC255" s="7"/>
      <c r="CD255" s="7"/>
      <c r="CE255" s="7"/>
      <c r="CF255" s="7"/>
      <c r="CG255" s="7"/>
      <c r="CH255" s="7"/>
      <c r="CI255" s="7"/>
      <c r="CJ255" s="7"/>
      <c r="CK255" s="7"/>
      <c r="CL255" s="7"/>
      <c r="CM255" s="7"/>
      <c r="CN255" s="7"/>
      <c r="CO255" s="7"/>
      <c r="CP255" s="7"/>
      <c r="CQ255" s="7"/>
      <c r="CR255" s="7"/>
      <c r="CS255" s="7"/>
      <c r="CT255" s="7"/>
      <c r="CU255" s="7"/>
      <c r="CV255" s="7"/>
      <c r="CW255" s="7"/>
      <c r="CX255" s="7"/>
      <c r="CY255" s="7"/>
      <c r="CZ255" s="7"/>
      <c r="DA255" s="7"/>
      <c r="DB255" s="7"/>
      <c r="DC255" s="7"/>
      <c r="DD255" s="7"/>
      <c r="DE255" s="7"/>
      <c r="DF255" s="7"/>
      <c r="DG255" s="7"/>
      <c r="DH255" s="7"/>
      <c r="DI255" s="7"/>
      <c r="DJ255" s="7"/>
      <c r="DK255" s="7"/>
      <c r="DL255" s="7"/>
      <c r="DM255" s="7"/>
      <c r="DN255" s="7"/>
      <c r="DO255" s="7"/>
      <c r="DP255" s="7"/>
      <c r="DQ255" s="7"/>
      <c r="DR255" s="7"/>
      <c r="DS255" s="7"/>
      <c r="DT255" s="7"/>
      <c r="DU255" s="7"/>
      <c r="DV255" s="7"/>
      <c r="DW255" s="7"/>
      <c r="DX255" s="7"/>
      <c r="DY255" s="7"/>
      <c r="DZ255" s="7"/>
    </row>
    <row r="256" spans="1:130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7"/>
      <c r="BN256" s="7"/>
      <c r="BO256" s="7"/>
      <c r="BP256" s="7"/>
      <c r="BQ256" s="7"/>
      <c r="BR256" s="7"/>
      <c r="BS256" s="7"/>
      <c r="BT256" s="7"/>
      <c r="BU256" s="7"/>
      <c r="BV256" s="7"/>
      <c r="BW256" s="7"/>
      <c r="BX256" s="7"/>
      <c r="BY256" s="7"/>
      <c r="BZ256" s="7"/>
      <c r="CA256" s="7"/>
      <c r="CB256" s="7"/>
      <c r="CC256" s="7"/>
      <c r="CD256" s="7"/>
      <c r="CE256" s="7"/>
      <c r="CF256" s="7"/>
      <c r="CG256" s="7"/>
      <c r="CH256" s="7"/>
      <c r="CI256" s="7"/>
      <c r="CJ256" s="7"/>
      <c r="CK256" s="7"/>
      <c r="CL256" s="7"/>
      <c r="CM256" s="7"/>
      <c r="CN256" s="7"/>
      <c r="CO256" s="7"/>
      <c r="CP256" s="7"/>
      <c r="CQ256" s="7"/>
      <c r="CR256" s="7"/>
      <c r="CS256" s="7"/>
      <c r="CT256" s="7"/>
      <c r="CU256" s="7"/>
      <c r="CV256" s="7"/>
      <c r="CW256" s="7"/>
      <c r="CX256" s="7"/>
      <c r="CY256" s="7"/>
      <c r="CZ256" s="7"/>
      <c r="DA256" s="7"/>
      <c r="DB256" s="7"/>
      <c r="DC256" s="7"/>
      <c r="DD256" s="7"/>
      <c r="DE256" s="7"/>
      <c r="DF256" s="7"/>
      <c r="DG256" s="7"/>
      <c r="DH256" s="7"/>
      <c r="DI256" s="7"/>
      <c r="DJ256" s="7"/>
      <c r="DK256" s="7"/>
      <c r="DL256" s="7"/>
      <c r="DM256" s="7"/>
      <c r="DN256" s="7"/>
      <c r="DO256" s="7"/>
      <c r="DP256" s="7"/>
      <c r="DQ256" s="7"/>
      <c r="DR256" s="7"/>
      <c r="DS256" s="7"/>
      <c r="DT256" s="7"/>
      <c r="DU256" s="7"/>
      <c r="DV256" s="7"/>
      <c r="DW256" s="7"/>
      <c r="DX256" s="7"/>
      <c r="DY256" s="7"/>
      <c r="DZ256" s="7"/>
    </row>
    <row r="257" spans="1:130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7"/>
      <c r="BN257" s="7"/>
      <c r="BO257" s="7"/>
      <c r="BP257" s="7"/>
      <c r="BQ257" s="7"/>
      <c r="BR257" s="7"/>
      <c r="BS257" s="7"/>
      <c r="BT257" s="7"/>
      <c r="BU257" s="7"/>
      <c r="BV257" s="7"/>
      <c r="BW257" s="7"/>
      <c r="BX257" s="7"/>
      <c r="BY257" s="7"/>
      <c r="BZ257" s="7"/>
      <c r="CA257" s="7"/>
      <c r="CB257" s="7"/>
      <c r="CC257" s="7"/>
      <c r="CD257" s="7"/>
      <c r="CE257" s="7"/>
      <c r="CF257" s="7"/>
      <c r="CG257" s="7"/>
      <c r="CH257" s="7"/>
      <c r="CI257" s="7"/>
      <c r="CJ257" s="7"/>
      <c r="CK257" s="7"/>
      <c r="CL257" s="7"/>
      <c r="CM257" s="7"/>
      <c r="CN257" s="7"/>
      <c r="CO257" s="7"/>
      <c r="CP257" s="7"/>
      <c r="CQ257" s="7"/>
      <c r="CR257" s="7"/>
      <c r="CS257" s="7"/>
      <c r="CT257" s="7"/>
      <c r="CU257" s="7"/>
      <c r="CV257" s="7"/>
      <c r="CW257" s="7"/>
      <c r="CX257" s="7"/>
      <c r="CY257" s="7"/>
      <c r="CZ257" s="7"/>
      <c r="DA257" s="7"/>
      <c r="DB257" s="7"/>
      <c r="DC257" s="7"/>
      <c r="DD257" s="7"/>
      <c r="DE257" s="7"/>
      <c r="DF257" s="7"/>
      <c r="DG257" s="7"/>
      <c r="DH257" s="7"/>
      <c r="DI257" s="7"/>
      <c r="DJ257" s="7"/>
      <c r="DK257" s="7"/>
      <c r="DL257" s="7"/>
      <c r="DM257" s="7"/>
      <c r="DN257" s="7"/>
      <c r="DO257" s="7"/>
      <c r="DP257" s="7"/>
      <c r="DQ257" s="7"/>
      <c r="DR257" s="7"/>
      <c r="DS257" s="7"/>
      <c r="DT257" s="7"/>
      <c r="DU257" s="7"/>
      <c r="DV257" s="7"/>
      <c r="DW257" s="7"/>
      <c r="DX257" s="7"/>
      <c r="DY257" s="7"/>
      <c r="DZ257" s="7"/>
    </row>
    <row r="258" spans="1:130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7"/>
      <c r="BN258" s="7"/>
      <c r="BO258" s="7"/>
      <c r="BP258" s="7"/>
      <c r="BQ258" s="7"/>
      <c r="BR258" s="7"/>
      <c r="BS258" s="7"/>
      <c r="BT258" s="7"/>
      <c r="BU258" s="7"/>
      <c r="BV258" s="7"/>
      <c r="BW258" s="7"/>
      <c r="BX258" s="7"/>
      <c r="BY258" s="7"/>
      <c r="BZ258" s="7"/>
      <c r="CA258" s="7"/>
      <c r="CB258" s="7"/>
      <c r="CC258" s="7"/>
      <c r="CD258" s="7"/>
      <c r="CE258" s="7"/>
      <c r="CF258" s="7"/>
      <c r="CG258" s="7"/>
      <c r="CH258" s="7"/>
      <c r="CI258" s="7"/>
      <c r="CJ258" s="7"/>
      <c r="CK258" s="7"/>
      <c r="CL258" s="7"/>
      <c r="CM258" s="7"/>
      <c r="CN258" s="7"/>
      <c r="CO258" s="7"/>
      <c r="CP258" s="7"/>
      <c r="CQ258" s="7"/>
      <c r="CR258" s="7"/>
      <c r="CS258" s="7"/>
      <c r="CT258" s="7"/>
      <c r="CU258" s="7"/>
      <c r="CV258" s="7"/>
      <c r="CW258" s="7"/>
      <c r="CX258" s="7"/>
      <c r="CY258" s="7"/>
      <c r="CZ258" s="7"/>
      <c r="DA258" s="7"/>
      <c r="DB258" s="7"/>
      <c r="DC258" s="7"/>
      <c r="DD258" s="7"/>
      <c r="DE258" s="7"/>
      <c r="DF258" s="7"/>
      <c r="DG258" s="7"/>
      <c r="DH258" s="7"/>
      <c r="DI258" s="7"/>
      <c r="DJ258" s="7"/>
      <c r="DK258" s="7"/>
      <c r="DL258" s="7"/>
      <c r="DM258" s="7"/>
      <c r="DN258" s="7"/>
      <c r="DO258" s="7"/>
      <c r="DP258" s="7"/>
      <c r="DQ258" s="7"/>
      <c r="DR258" s="7"/>
      <c r="DS258" s="7"/>
      <c r="DT258" s="7"/>
      <c r="DU258" s="7"/>
      <c r="DV258" s="7"/>
      <c r="DW258" s="7"/>
      <c r="DX258" s="7"/>
      <c r="DY258" s="7"/>
      <c r="DZ258" s="7"/>
    </row>
    <row r="259" spans="1:130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7"/>
      <c r="BN259" s="7"/>
      <c r="BO259" s="7"/>
      <c r="BP259" s="7"/>
      <c r="BQ259" s="7"/>
      <c r="BR259" s="7"/>
      <c r="BS259" s="7"/>
      <c r="BT259" s="7"/>
      <c r="BU259" s="7"/>
      <c r="BV259" s="7"/>
      <c r="BW259" s="7"/>
      <c r="BX259" s="7"/>
      <c r="BY259" s="7"/>
      <c r="BZ259" s="7"/>
      <c r="CA259" s="7"/>
      <c r="CB259" s="7"/>
      <c r="CC259" s="7"/>
      <c r="CD259" s="7"/>
      <c r="CE259" s="7"/>
      <c r="CF259" s="7"/>
      <c r="CG259" s="7"/>
      <c r="CH259" s="7"/>
      <c r="CI259" s="7"/>
      <c r="CJ259" s="7"/>
      <c r="CK259" s="7"/>
      <c r="CL259" s="7"/>
      <c r="CM259" s="7"/>
      <c r="CN259" s="7"/>
      <c r="CO259" s="7"/>
      <c r="CP259" s="7"/>
      <c r="CQ259" s="7"/>
      <c r="CR259" s="7"/>
      <c r="CS259" s="7"/>
      <c r="CT259" s="7"/>
      <c r="CU259" s="7"/>
      <c r="CV259" s="7"/>
      <c r="CW259" s="7"/>
      <c r="CX259" s="7"/>
      <c r="CY259" s="7"/>
      <c r="CZ259" s="7"/>
      <c r="DA259" s="7"/>
      <c r="DB259" s="7"/>
      <c r="DC259" s="7"/>
      <c r="DD259" s="7"/>
      <c r="DE259" s="7"/>
      <c r="DF259" s="7"/>
      <c r="DG259" s="7"/>
      <c r="DH259" s="7"/>
      <c r="DI259" s="7"/>
      <c r="DJ259" s="7"/>
      <c r="DK259" s="7"/>
      <c r="DL259" s="7"/>
      <c r="DM259" s="7"/>
      <c r="DN259" s="7"/>
      <c r="DO259" s="7"/>
      <c r="DP259" s="7"/>
      <c r="DQ259" s="7"/>
      <c r="DR259" s="7"/>
      <c r="DS259" s="7"/>
      <c r="DT259" s="7"/>
      <c r="DU259" s="7"/>
      <c r="DV259" s="7"/>
      <c r="DW259" s="7"/>
      <c r="DX259" s="7"/>
      <c r="DY259" s="7"/>
      <c r="DZ259" s="7"/>
    </row>
    <row r="260" spans="1:13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7"/>
      <c r="BN260" s="7"/>
      <c r="BO260" s="7"/>
      <c r="BP260" s="7"/>
      <c r="BQ260" s="7"/>
      <c r="BR260" s="7"/>
      <c r="BS260" s="7"/>
      <c r="BT260" s="7"/>
      <c r="BU260" s="7"/>
      <c r="BV260" s="7"/>
      <c r="BW260" s="7"/>
      <c r="BX260" s="7"/>
      <c r="BY260" s="7"/>
      <c r="BZ260" s="7"/>
      <c r="CA260" s="7"/>
      <c r="CB260" s="7"/>
      <c r="CC260" s="7"/>
      <c r="CD260" s="7"/>
      <c r="CE260" s="7"/>
      <c r="CF260" s="7"/>
      <c r="CG260" s="7"/>
      <c r="CH260" s="7"/>
      <c r="CI260" s="7"/>
      <c r="CJ260" s="7"/>
      <c r="CK260" s="7"/>
      <c r="CL260" s="7"/>
      <c r="CM260" s="7"/>
      <c r="CN260" s="7"/>
      <c r="CO260" s="7"/>
      <c r="CP260" s="7"/>
      <c r="CQ260" s="7"/>
      <c r="CR260" s="7"/>
      <c r="CS260" s="7"/>
      <c r="CT260" s="7"/>
      <c r="CU260" s="7"/>
      <c r="CV260" s="7"/>
      <c r="CW260" s="7"/>
      <c r="CX260" s="7"/>
      <c r="CY260" s="7"/>
      <c r="CZ260" s="7"/>
      <c r="DA260" s="7"/>
      <c r="DB260" s="7"/>
      <c r="DC260" s="7"/>
      <c r="DD260" s="7"/>
      <c r="DE260" s="7"/>
      <c r="DF260" s="7"/>
      <c r="DG260" s="7"/>
      <c r="DH260" s="7"/>
      <c r="DI260" s="7"/>
      <c r="DJ260" s="7"/>
      <c r="DK260" s="7"/>
      <c r="DL260" s="7"/>
      <c r="DM260" s="7"/>
      <c r="DN260" s="7"/>
      <c r="DO260" s="7"/>
      <c r="DP260" s="7"/>
      <c r="DQ260" s="7"/>
      <c r="DR260" s="7"/>
      <c r="DS260" s="7"/>
      <c r="DT260" s="7"/>
      <c r="DU260" s="7"/>
      <c r="DV260" s="7"/>
      <c r="DW260" s="7"/>
      <c r="DX260" s="7"/>
      <c r="DY260" s="7"/>
      <c r="DZ260" s="7"/>
    </row>
    <row r="261" spans="1:130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7"/>
      <c r="BN261" s="7"/>
      <c r="BO261" s="7"/>
      <c r="BP261" s="7"/>
      <c r="BQ261" s="7"/>
      <c r="BR261" s="7"/>
      <c r="BS261" s="7"/>
      <c r="BT261" s="7"/>
      <c r="BU261" s="7"/>
      <c r="BV261" s="7"/>
      <c r="BW261" s="7"/>
      <c r="BX261" s="7"/>
      <c r="BY261" s="7"/>
      <c r="BZ261" s="7"/>
      <c r="CA261" s="7"/>
      <c r="CB261" s="7"/>
      <c r="CC261" s="7"/>
      <c r="CD261" s="7"/>
      <c r="CE261" s="7"/>
      <c r="CF261" s="7"/>
      <c r="CG261" s="7"/>
      <c r="CH261" s="7"/>
      <c r="CI261" s="7"/>
      <c r="CJ261" s="7"/>
      <c r="CK261" s="7"/>
      <c r="CL261" s="7"/>
      <c r="CM261" s="7"/>
      <c r="CN261" s="7"/>
      <c r="CO261" s="7"/>
      <c r="CP261" s="7"/>
      <c r="CQ261" s="7"/>
      <c r="CR261" s="7"/>
      <c r="CS261" s="7"/>
      <c r="CT261" s="7"/>
      <c r="CU261" s="7"/>
      <c r="CV261" s="7"/>
      <c r="CW261" s="7"/>
      <c r="CX261" s="7"/>
      <c r="CY261" s="7"/>
      <c r="CZ261" s="7"/>
      <c r="DA261" s="7"/>
      <c r="DB261" s="7"/>
      <c r="DC261" s="7"/>
      <c r="DD261" s="7"/>
      <c r="DE261" s="7"/>
      <c r="DF261" s="7"/>
      <c r="DG261" s="7"/>
      <c r="DH261" s="7"/>
      <c r="DI261" s="7"/>
      <c r="DJ261" s="7"/>
      <c r="DK261" s="7"/>
      <c r="DL261" s="7"/>
      <c r="DM261" s="7"/>
      <c r="DN261" s="7"/>
      <c r="DO261" s="7"/>
      <c r="DP261" s="7"/>
      <c r="DQ261" s="7"/>
      <c r="DR261" s="7"/>
      <c r="DS261" s="7"/>
      <c r="DT261" s="7"/>
      <c r="DU261" s="7"/>
      <c r="DV261" s="7"/>
      <c r="DW261" s="7"/>
      <c r="DX261" s="7"/>
      <c r="DY261" s="7"/>
      <c r="DZ261" s="7"/>
    </row>
    <row r="262" spans="1:130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7"/>
      <c r="BN262" s="7"/>
      <c r="BO262" s="7"/>
      <c r="BP262" s="7"/>
      <c r="BQ262" s="7"/>
      <c r="BR262" s="7"/>
      <c r="BS262" s="7"/>
      <c r="BT262" s="7"/>
      <c r="BU262" s="7"/>
      <c r="BV262" s="7"/>
      <c r="BW262" s="7"/>
      <c r="BX262" s="7"/>
      <c r="BY262" s="7"/>
      <c r="BZ262" s="7"/>
      <c r="CA262" s="7"/>
      <c r="CB262" s="7"/>
      <c r="CC262" s="7"/>
      <c r="CD262" s="7"/>
      <c r="CE262" s="7"/>
      <c r="CF262" s="7"/>
      <c r="CG262" s="7"/>
      <c r="CH262" s="7"/>
      <c r="CI262" s="7"/>
      <c r="CJ262" s="7"/>
      <c r="CK262" s="7"/>
      <c r="CL262" s="7"/>
      <c r="CM262" s="7"/>
      <c r="CN262" s="7"/>
      <c r="CO262" s="7"/>
      <c r="CP262" s="7"/>
      <c r="CQ262" s="7"/>
      <c r="CR262" s="7"/>
      <c r="CS262" s="7"/>
      <c r="CT262" s="7"/>
      <c r="CU262" s="7"/>
      <c r="CV262" s="7"/>
      <c r="CW262" s="7"/>
      <c r="CX262" s="7"/>
      <c r="CY262" s="7"/>
      <c r="CZ262" s="7"/>
      <c r="DA262" s="7"/>
      <c r="DB262" s="7"/>
      <c r="DC262" s="7"/>
      <c r="DD262" s="7"/>
      <c r="DE262" s="7"/>
      <c r="DF262" s="7"/>
      <c r="DG262" s="7"/>
      <c r="DH262" s="7"/>
      <c r="DI262" s="7"/>
      <c r="DJ262" s="7"/>
      <c r="DK262" s="7"/>
      <c r="DL262" s="7"/>
      <c r="DM262" s="7"/>
      <c r="DN262" s="7"/>
      <c r="DO262" s="7"/>
      <c r="DP262" s="7"/>
      <c r="DQ262" s="7"/>
      <c r="DR262" s="7"/>
      <c r="DS262" s="7"/>
      <c r="DT262" s="7"/>
      <c r="DU262" s="7"/>
      <c r="DV262" s="7"/>
      <c r="DW262" s="7"/>
      <c r="DX262" s="7"/>
      <c r="DY262" s="7"/>
      <c r="DZ262" s="7"/>
    </row>
    <row r="263" spans="1:130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7"/>
      <c r="BN263" s="7"/>
      <c r="BO263" s="7"/>
      <c r="BP263" s="7"/>
      <c r="BQ263" s="7"/>
      <c r="BR263" s="7"/>
      <c r="BS263" s="7"/>
      <c r="BT263" s="7"/>
      <c r="BU263" s="7"/>
      <c r="BV263" s="7"/>
      <c r="BW263" s="7"/>
      <c r="BX263" s="7"/>
      <c r="BY263" s="7"/>
      <c r="BZ263" s="7"/>
      <c r="CA263" s="7"/>
      <c r="CB263" s="7"/>
      <c r="CC263" s="7"/>
      <c r="CD263" s="7"/>
      <c r="CE263" s="7"/>
      <c r="CF263" s="7"/>
      <c r="CG263" s="7"/>
      <c r="CH263" s="7"/>
      <c r="CI263" s="7"/>
      <c r="CJ263" s="7"/>
      <c r="CK263" s="7"/>
      <c r="CL263" s="7"/>
      <c r="CM263" s="7"/>
      <c r="CN263" s="7"/>
      <c r="CO263" s="7"/>
      <c r="CP263" s="7"/>
      <c r="CQ263" s="7"/>
      <c r="CR263" s="7"/>
      <c r="CS263" s="7"/>
      <c r="CT263" s="7"/>
      <c r="CU263" s="7"/>
      <c r="CV263" s="7"/>
      <c r="CW263" s="7"/>
      <c r="CX263" s="7"/>
      <c r="CY263" s="7"/>
      <c r="CZ263" s="7"/>
      <c r="DA263" s="7"/>
      <c r="DB263" s="7"/>
      <c r="DC263" s="7"/>
      <c r="DD263" s="7"/>
      <c r="DE263" s="7"/>
      <c r="DF263" s="7"/>
      <c r="DG263" s="7"/>
      <c r="DH263" s="7"/>
      <c r="DI263" s="7"/>
      <c r="DJ263" s="7"/>
      <c r="DK263" s="7"/>
      <c r="DL263" s="7"/>
      <c r="DM263" s="7"/>
      <c r="DN263" s="7"/>
      <c r="DO263" s="7"/>
      <c r="DP263" s="7"/>
      <c r="DQ263" s="7"/>
      <c r="DR263" s="7"/>
      <c r="DS263" s="7"/>
      <c r="DT263" s="7"/>
      <c r="DU263" s="7"/>
      <c r="DV263" s="7"/>
      <c r="DW263" s="7"/>
      <c r="DX263" s="7"/>
      <c r="DY263" s="7"/>
      <c r="DZ263" s="7"/>
    </row>
    <row r="264" spans="1:130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7"/>
      <c r="BN264" s="7"/>
      <c r="BO264" s="7"/>
      <c r="BP264" s="7"/>
      <c r="BQ264" s="7"/>
      <c r="BR264" s="7"/>
      <c r="BS264" s="7"/>
      <c r="BT264" s="7"/>
      <c r="BU264" s="7"/>
      <c r="BV264" s="7"/>
      <c r="BW264" s="7"/>
      <c r="BX264" s="7"/>
      <c r="BY264" s="7"/>
      <c r="BZ264" s="7"/>
      <c r="CA264" s="7"/>
      <c r="CB264" s="7"/>
      <c r="CC264" s="7"/>
      <c r="CD264" s="7"/>
      <c r="CE264" s="7"/>
      <c r="CF264" s="7"/>
      <c r="CG264" s="7"/>
      <c r="CH264" s="7"/>
      <c r="CI264" s="7"/>
      <c r="CJ264" s="7"/>
      <c r="CK264" s="7"/>
      <c r="CL264" s="7"/>
      <c r="CM264" s="7"/>
      <c r="CN264" s="7"/>
      <c r="CO264" s="7"/>
      <c r="CP264" s="7"/>
      <c r="CQ264" s="7"/>
      <c r="CR264" s="7"/>
      <c r="CS264" s="7"/>
      <c r="CT264" s="7"/>
      <c r="CU264" s="7"/>
      <c r="CV264" s="7"/>
      <c r="CW264" s="7"/>
      <c r="CX264" s="7"/>
      <c r="CY264" s="7"/>
      <c r="CZ264" s="7"/>
      <c r="DA264" s="7"/>
      <c r="DB264" s="7"/>
      <c r="DC264" s="7"/>
      <c r="DD264" s="7"/>
      <c r="DE264" s="7"/>
      <c r="DF264" s="7"/>
      <c r="DG264" s="7"/>
      <c r="DH264" s="7"/>
      <c r="DI264" s="7"/>
      <c r="DJ264" s="7"/>
      <c r="DK264" s="7"/>
      <c r="DL264" s="7"/>
      <c r="DM264" s="7"/>
      <c r="DN264" s="7"/>
      <c r="DO264" s="7"/>
      <c r="DP264" s="7"/>
      <c r="DQ264" s="7"/>
      <c r="DR264" s="7"/>
      <c r="DS264" s="7"/>
      <c r="DT264" s="7"/>
      <c r="DU264" s="7"/>
      <c r="DV264" s="7"/>
      <c r="DW264" s="7"/>
      <c r="DX264" s="7"/>
      <c r="DY264" s="7"/>
      <c r="DZ264" s="7"/>
    </row>
    <row r="265" spans="1:130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7"/>
      <c r="BN265" s="7"/>
      <c r="BO265" s="7"/>
      <c r="BP265" s="7"/>
      <c r="BQ265" s="7"/>
      <c r="BR265" s="7"/>
      <c r="BS265" s="7"/>
      <c r="BT265" s="7"/>
      <c r="BU265" s="7"/>
      <c r="BV265" s="7"/>
      <c r="BW265" s="7"/>
      <c r="BX265" s="7"/>
      <c r="BY265" s="7"/>
      <c r="BZ265" s="7"/>
      <c r="CA265" s="7"/>
      <c r="CB265" s="7"/>
      <c r="CC265" s="7"/>
      <c r="CD265" s="7"/>
      <c r="CE265" s="7"/>
      <c r="CF265" s="7"/>
      <c r="CG265" s="7"/>
      <c r="CH265" s="7"/>
      <c r="CI265" s="7"/>
      <c r="CJ265" s="7"/>
      <c r="CK265" s="7"/>
      <c r="CL265" s="7"/>
      <c r="CM265" s="7"/>
      <c r="CN265" s="7"/>
      <c r="CO265" s="7"/>
      <c r="CP265" s="7"/>
      <c r="CQ265" s="7"/>
      <c r="CR265" s="7"/>
      <c r="CS265" s="7"/>
      <c r="CT265" s="7"/>
      <c r="CU265" s="7"/>
      <c r="CV265" s="7"/>
      <c r="CW265" s="7"/>
      <c r="CX265" s="7"/>
      <c r="CY265" s="7"/>
      <c r="CZ265" s="7"/>
      <c r="DA265" s="7"/>
      <c r="DB265" s="7"/>
      <c r="DC265" s="7"/>
      <c r="DD265" s="7"/>
      <c r="DE265" s="7"/>
      <c r="DF265" s="7"/>
      <c r="DG265" s="7"/>
      <c r="DH265" s="7"/>
      <c r="DI265" s="7"/>
      <c r="DJ265" s="7"/>
      <c r="DK265" s="7"/>
      <c r="DL265" s="7"/>
      <c r="DM265" s="7"/>
      <c r="DN265" s="7"/>
      <c r="DO265" s="7"/>
      <c r="DP265" s="7"/>
      <c r="DQ265" s="7"/>
      <c r="DR265" s="7"/>
      <c r="DS265" s="7"/>
      <c r="DT265" s="7"/>
      <c r="DU265" s="7"/>
      <c r="DV265" s="7"/>
      <c r="DW265" s="7"/>
      <c r="DX265" s="7"/>
      <c r="DY265" s="7"/>
      <c r="DZ265" s="7"/>
    </row>
    <row r="266" spans="1:130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7"/>
      <c r="BN266" s="7"/>
      <c r="BO266" s="7"/>
      <c r="BP266" s="7"/>
      <c r="BQ266" s="7"/>
      <c r="BR266" s="7"/>
      <c r="BS266" s="7"/>
      <c r="BT266" s="7"/>
      <c r="BU266" s="7"/>
      <c r="BV266" s="7"/>
      <c r="BW266" s="7"/>
      <c r="BX266" s="7"/>
      <c r="BY266" s="7"/>
      <c r="BZ266" s="7"/>
      <c r="CA266" s="7"/>
      <c r="CB266" s="7"/>
      <c r="CC266" s="7"/>
      <c r="CD266" s="7"/>
      <c r="CE266" s="7"/>
      <c r="CF266" s="7"/>
      <c r="CG266" s="7"/>
      <c r="CH266" s="7"/>
      <c r="CI266" s="7"/>
      <c r="CJ266" s="7"/>
      <c r="CK266" s="7"/>
      <c r="CL266" s="7"/>
      <c r="CM266" s="7"/>
      <c r="CN266" s="7"/>
      <c r="CO266" s="7"/>
      <c r="CP266" s="7"/>
      <c r="CQ266" s="7"/>
      <c r="CR266" s="7"/>
      <c r="CS266" s="7"/>
      <c r="CT266" s="7"/>
      <c r="CU266" s="7"/>
      <c r="CV266" s="7"/>
      <c r="CW266" s="7"/>
      <c r="CX266" s="7"/>
      <c r="CY266" s="7"/>
      <c r="CZ266" s="7"/>
      <c r="DA266" s="7"/>
      <c r="DB266" s="7"/>
      <c r="DC266" s="7"/>
      <c r="DD266" s="7"/>
      <c r="DE266" s="7"/>
      <c r="DF266" s="7"/>
      <c r="DG266" s="7"/>
      <c r="DH266" s="7"/>
      <c r="DI266" s="7"/>
      <c r="DJ266" s="7"/>
      <c r="DK266" s="7"/>
      <c r="DL266" s="7"/>
      <c r="DM266" s="7"/>
      <c r="DN266" s="7"/>
      <c r="DO266" s="7"/>
      <c r="DP266" s="7"/>
      <c r="DQ266" s="7"/>
      <c r="DR266" s="7"/>
      <c r="DS266" s="7"/>
      <c r="DT266" s="7"/>
      <c r="DU266" s="7"/>
      <c r="DV266" s="7"/>
      <c r="DW266" s="7"/>
      <c r="DX266" s="7"/>
      <c r="DY266" s="7"/>
      <c r="DZ266" s="7"/>
    </row>
    <row r="267" spans="1:130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7"/>
      <c r="BN267" s="7"/>
      <c r="BO267" s="7"/>
      <c r="BP267" s="7"/>
      <c r="BQ267" s="7"/>
      <c r="BR267" s="7"/>
      <c r="BS267" s="7"/>
      <c r="BT267" s="7"/>
      <c r="BU267" s="7"/>
      <c r="BV267" s="7"/>
      <c r="BW267" s="7"/>
      <c r="BX267" s="7"/>
      <c r="BY267" s="7"/>
      <c r="BZ267" s="7"/>
      <c r="CA267" s="7"/>
      <c r="CB267" s="7"/>
      <c r="CC267" s="7"/>
      <c r="CD267" s="7"/>
      <c r="CE267" s="7"/>
      <c r="CF267" s="7"/>
      <c r="CG267" s="7"/>
      <c r="CH267" s="7"/>
      <c r="CI267" s="7"/>
      <c r="CJ267" s="7"/>
      <c r="CK267" s="7"/>
      <c r="CL267" s="7"/>
      <c r="CM267" s="7"/>
      <c r="CN267" s="7"/>
      <c r="CO267" s="7"/>
      <c r="CP267" s="7"/>
      <c r="CQ267" s="7"/>
      <c r="CR267" s="7"/>
      <c r="CS267" s="7"/>
      <c r="CT267" s="7"/>
      <c r="CU267" s="7"/>
      <c r="CV267" s="7"/>
      <c r="CW267" s="7"/>
      <c r="CX267" s="7"/>
      <c r="CY267" s="7"/>
      <c r="CZ267" s="7"/>
      <c r="DA267" s="7"/>
      <c r="DB267" s="7"/>
      <c r="DC267" s="7"/>
      <c r="DD267" s="7"/>
      <c r="DE267" s="7"/>
      <c r="DF267" s="7"/>
      <c r="DG267" s="7"/>
      <c r="DH267" s="7"/>
      <c r="DI267" s="7"/>
      <c r="DJ267" s="7"/>
      <c r="DK267" s="7"/>
      <c r="DL267" s="7"/>
      <c r="DM267" s="7"/>
      <c r="DN267" s="7"/>
      <c r="DO267" s="7"/>
      <c r="DP267" s="7"/>
      <c r="DQ267" s="7"/>
      <c r="DR267" s="7"/>
      <c r="DS267" s="7"/>
      <c r="DT267" s="7"/>
      <c r="DU267" s="7"/>
      <c r="DV267" s="7"/>
      <c r="DW267" s="7"/>
      <c r="DX267" s="7"/>
      <c r="DY267" s="7"/>
      <c r="DZ267" s="7"/>
    </row>
    <row r="268" spans="1:130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7"/>
      <c r="BN268" s="7"/>
      <c r="BO268" s="7"/>
      <c r="BP268" s="7"/>
      <c r="BQ268" s="7"/>
      <c r="BR268" s="7"/>
      <c r="BS268" s="7"/>
      <c r="BT268" s="7"/>
      <c r="BU268" s="7"/>
      <c r="BV268" s="7"/>
      <c r="BW268" s="7"/>
      <c r="BX268" s="7"/>
      <c r="BY268" s="7"/>
      <c r="BZ268" s="7"/>
      <c r="CA268" s="7"/>
      <c r="CB268" s="7"/>
      <c r="CC268" s="7"/>
      <c r="CD268" s="7"/>
      <c r="CE268" s="7"/>
      <c r="CF268" s="7"/>
      <c r="CG268" s="7"/>
      <c r="CH268" s="7"/>
      <c r="CI268" s="7"/>
      <c r="CJ268" s="7"/>
      <c r="CK268" s="7"/>
      <c r="CL268" s="7"/>
      <c r="CM268" s="7"/>
      <c r="CN268" s="7"/>
      <c r="CO268" s="7"/>
      <c r="CP268" s="7"/>
      <c r="CQ268" s="7"/>
      <c r="CR268" s="7"/>
      <c r="CS268" s="7"/>
      <c r="CT268" s="7"/>
      <c r="CU268" s="7"/>
      <c r="CV268" s="7"/>
      <c r="CW268" s="7"/>
      <c r="CX268" s="7"/>
      <c r="CY268" s="7"/>
      <c r="CZ268" s="7"/>
      <c r="DA268" s="7"/>
      <c r="DB268" s="7"/>
      <c r="DC268" s="7"/>
      <c r="DD268" s="7"/>
      <c r="DE268" s="7"/>
      <c r="DF268" s="7"/>
      <c r="DG268" s="7"/>
      <c r="DH268" s="7"/>
      <c r="DI268" s="7"/>
      <c r="DJ268" s="7"/>
      <c r="DK268" s="7"/>
      <c r="DL268" s="7"/>
      <c r="DM268" s="7"/>
      <c r="DN268" s="7"/>
      <c r="DO268" s="7"/>
      <c r="DP268" s="7"/>
      <c r="DQ268" s="7"/>
      <c r="DR268" s="7"/>
      <c r="DS268" s="7"/>
      <c r="DT268" s="7"/>
      <c r="DU268" s="7"/>
      <c r="DV268" s="7"/>
      <c r="DW268" s="7"/>
      <c r="DX268" s="7"/>
      <c r="DY268" s="7"/>
      <c r="DZ268" s="7"/>
    </row>
    <row r="269" spans="1:130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7"/>
      <c r="BN269" s="7"/>
      <c r="BO269" s="7"/>
      <c r="BP269" s="7"/>
      <c r="BQ269" s="7"/>
      <c r="BR269" s="7"/>
      <c r="BS269" s="7"/>
      <c r="BT269" s="7"/>
      <c r="BU269" s="7"/>
      <c r="BV269" s="7"/>
      <c r="BW269" s="7"/>
      <c r="BX269" s="7"/>
      <c r="BY269" s="7"/>
      <c r="BZ269" s="7"/>
      <c r="CA269" s="7"/>
      <c r="CB269" s="7"/>
      <c r="CC269" s="7"/>
      <c r="CD269" s="7"/>
      <c r="CE269" s="7"/>
      <c r="CF269" s="7"/>
      <c r="CG269" s="7"/>
      <c r="CH269" s="7"/>
      <c r="CI269" s="7"/>
      <c r="CJ269" s="7"/>
      <c r="CK269" s="7"/>
      <c r="CL269" s="7"/>
      <c r="CM269" s="7"/>
      <c r="CN269" s="7"/>
      <c r="CO269" s="7"/>
      <c r="CP269" s="7"/>
      <c r="CQ269" s="7"/>
      <c r="CR269" s="7"/>
      <c r="CS269" s="7"/>
      <c r="CT269" s="7"/>
      <c r="CU269" s="7"/>
      <c r="CV269" s="7"/>
      <c r="CW269" s="7"/>
      <c r="CX269" s="7"/>
      <c r="CY269" s="7"/>
      <c r="CZ269" s="7"/>
      <c r="DA269" s="7"/>
      <c r="DB269" s="7"/>
      <c r="DC269" s="7"/>
      <c r="DD269" s="7"/>
      <c r="DE269" s="7"/>
      <c r="DF269" s="7"/>
      <c r="DG269" s="7"/>
      <c r="DH269" s="7"/>
      <c r="DI269" s="7"/>
      <c r="DJ269" s="7"/>
      <c r="DK269" s="7"/>
      <c r="DL269" s="7"/>
      <c r="DM269" s="7"/>
      <c r="DN269" s="7"/>
      <c r="DO269" s="7"/>
      <c r="DP269" s="7"/>
      <c r="DQ269" s="7"/>
      <c r="DR269" s="7"/>
      <c r="DS269" s="7"/>
      <c r="DT269" s="7"/>
      <c r="DU269" s="7"/>
      <c r="DV269" s="7"/>
      <c r="DW269" s="7"/>
      <c r="DX269" s="7"/>
      <c r="DY269" s="7"/>
      <c r="DZ269" s="7"/>
    </row>
    <row r="270" spans="1:13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7"/>
      <c r="BN270" s="7"/>
      <c r="BO270" s="7"/>
      <c r="BP270" s="7"/>
      <c r="BQ270" s="7"/>
      <c r="BR270" s="7"/>
      <c r="BS270" s="7"/>
      <c r="BT270" s="7"/>
      <c r="BU270" s="7"/>
      <c r="BV270" s="7"/>
      <c r="BW270" s="7"/>
      <c r="BX270" s="7"/>
      <c r="BY270" s="7"/>
      <c r="BZ270" s="7"/>
      <c r="CA270" s="7"/>
      <c r="CB270" s="7"/>
      <c r="CC270" s="7"/>
      <c r="CD270" s="7"/>
      <c r="CE270" s="7"/>
      <c r="CF270" s="7"/>
      <c r="CG270" s="7"/>
      <c r="CH270" s="7"/>
      <c r="CI270" s="7"/>
      <c r="CJ270" s="7"/>
      <c r="CK270" s="7"/>
      <c r="CL270" s="7"/>
      <c r="CM270" s="7"/>
      <c r="CN270" s="7"/>
      <c r="CO270" s="7"/>
      <c r="CP270" s="7"/>
      <c r="CQ270" s="7"/>
      <c r="CR270" s="7"/>
      <c r="CS270" s="7"/>
      <c r="CT270" s="7"/>
      <c r="CU270" s="7"/>
      <c r="CV270" s="7"/>
      <c r="CW270" s="7"/>
      <c r="CX270" s="7"/>
      <c r="CY270" s="7"/>
      <c r="CZ270" s="7"/>
      <c r="DA270" s="7"/>
      <c r="DB270" s="7"/>
      <c r="DC270" s="7"/>
      <c r="DD270" s="7"/>
      <c r="DE270" s="7"/>
      <c r="DF270" s="7"/>
      <c r="DG270" s="7"/>
      <c r="DH270" s="7"/>
      <c r="DI270" s="7"/>
      <c r="DJ270" s="7"/>
      <c r="DK270" s="7"/>
      <c r="DL270" s="7"/>
      <c r="DM270" s="7"/>
      <c r="DN270" s="7"/>
      <c r="DO270" s="7"/>
      <c r="DP270" s="7"/>
      <c r="DQ270" s="7"/>
      <c r="DR270" s="7"/>
      <c r="DS270" s="7"/>
      <c r="DT270" s="7"/>
      <c r="DU270" s="7"/>
      <c r="DV270" s="7"/>
      <c r="DW270" s="7"/>
      <c r="DX270" s="7"/>
      <c r="DY270" s="7"/>
      <c r="DZ270" s="7"/>
    </row>
    <row r="271" spans="1:130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7"/>
      <c r="BN271" s="7"/>
      <c r="BO271" s="7"/>
      <c r="BP271" s="7"/>
      <c r="BQ271" s="7"/>
      <c r="BR271" s="7"/>
      <c r="BS271" s="7"/>
      <c r="BT271" s="7"/>
      <c r="BU271" s="7"/>
      <c r="BV271" s="7"/>
      <c r="BW271" s="7"/>
      <c r="BX271" s="7"/>
      <c r="BY271" s="7"/>
      <c r="BZ271" s="7"/>
      <c r="CA271" s="7"/>
      <c r="CB271" s="7"/>
      <c r="CC271" s="7"/>
      <c r="CD271" s="7"/>
      <c r="CE271" s="7"/>
      <c r="CF271" s="7"/>
      <c r="CG271" s="7"/>
      <c r="CH271" s="7"/>
      <c r="CI271" s="7"/>
      <c r="CJ271" s="7"/>
      <c r="CK271" s="7"/>
      <c r="CL271" s="7"/>
      <c r="CM271" s="7"/>
      <c r="CN271" s="7"/>
      <c r="CO271" s="7"/>
      <c r="CP271" s="7"/>
      <c r="CQ271" s="7"/>
      <c r="CR271" s="7"/>
      <c r="CS271" s="7"/>
      <c r="CT271" s="7"/>
      <c r="CU271" s="7"/>
      <c r="CV271" s="7"/>
      <c r="CW271" s="7"/>
      <c r="CX271" s="7"/>
      <c r="CY271" s="7"/>
      <c r="CZ271" s="7"/>
      <c r="DA271" s="7"/>
      <c r="DB271" s="7"/>
      <c r="DC271" s="7"/>
      <c r="DD271" s="7"/>
      <c r="DE271" s="7"/>
      <c r="DF271" s="7"/>
      <c r="DG271" s="7"/>
      <c r="DH271" s="7"/>
      <c r="DI271" s="7"/>
      <c r="DJ271" s="7"/>
      <c r="DK271" s="7"/>
      <c r="DL271" s="7"/>
      <c r="DM271" s="7"/>
      <c r="DN271" s="7"/>
      <c r="DO271" s="7"/>
      <c r="DP271" s="7"/>
      <c r="DQ271" s="7"/>
      <c r="DR271" s="7"/>
      <c r="DS271" s="7"/>
      <c r="DT271" s="7"/>
      <c r="DU271" s="7"/>
      <c r="DV271" s="7"/>
      <c r="DW271" s="7"/>
      <c r="DX271" s="7"/>
      <c r="DY271" s="7"/>
      <c r="DZ271" s="7"/>
    </row>
    <row r="272" spans="1:130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7"/>
      <c r="BN272" s="7"/>
      <c r="BO272" s="7"/>
      <c r="BP272" s="7"/>
      <c r="BQ272" s="7"/>
      <c r="BR272" s="7"/>
      <c r="BS272" s="7"/>
      <c r="BT272" s="7"/>
      <c r="BU272" s="7"/>
      <c r="BV272" s="7"/>
      <c r="BW272" s="7"/>
      <c r="BX272" s="7"/>
      <c r="BY272" s="7"/>
      <c r="BZ272" s="7"/>
      <c r="CA272" s="7"/>
      <c r="CB272" s="7"/>
      <c r="CC272" s="7"/>
      <c r="CD272" s="7"/>
      <c r="CE272" s="7"/>
      <c r="CF272" s="7"/>
      <c r="CG272" s="7"/>
      <c r="CH272" s="7"/>
      <c r="CI272" s="7"/>
      <c r="CJ272" s="7"/>
      <c r="CK272" s="7"/>
      <c r="CL272" s="7"/>
      <c r="CM272" s="7"/>
      <c r="CN272" s="7"/>
      <c r="CO272" s="7"/>
      <c r="CP272" s="7"/>
      <c r="CQ272" s="7"/>
      <c r="CR272" s="7"/>
      <c r="CS272" s="7"/>
      <c r="CT272" s="7"/>
      <c r="CU272" s="7"/>
      <c r="CV272" s="7"/>
      <c r="CW272" s="7"/>
      <c r="CX272" s="7"/>
      <c r="CY272" s="7"/>
      <c r="CZ272" s="7"/>
      <c r="DA272" s="7"/>
      <c r="DB272" s="7"/>
      <c r="DC272" s="7"/>
      <c r="DD272" s="7"/>
      <c r="DE272" s="7"/>
      <c r="DF272" s="7"/>
      <c r="DG272" s="7"/>
      <c r="DH272" s="7"/>
      <c r="DI272" s="7"/>
      <c r="DJ272" s="7"/>
      <c r="DK272" s="7"/>
      <c r="DL272" s="7"/>
      <c r="DM272" s="7"/>
      <c r="DN272" s="7"/>
      <c r="DO272" s="7"/>
      <c r="DP272" s="7"/>
      <c r="DQ272" s="7"/>
      <c r="DR272" s="7"/>
      <c r="DS272" s="7"/>
      <c r="DT272" s="7"/>
      <c r="DU272" s="7"/>
      <c r="DV272" s="7"/>
      <c r="DW272" s="7"/>
      <c r="DX272" s="7"/>
      <c r="DY272" s="7"/>
      <c r="DZ272" s="7"/>
    </row>
    <row r="273" spans="1:130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7"/>
      <c r="BN273" s="7"/>
      <c r="BO273" s="7"/>
      <c r="BP273" s="7"/>
      <c r="BQ273" s="7"/>
      <c r="BR273" s="7"/>
      <c r="BS273" s="7"/>
      <c r="BT273" s="7"/>
      <c r="BU273" s="7"/>
      <c r="BV273" s="7"/>
      <c r="BW273" s="7"/>
      <c r="BX273" s="7"/>
      <c r="BY273" s="7"/>
      <c r="BZ273" s="7"/>
      <c r="CA273" s="7"/>
      <c r="CB273" s="7"/>
      <c r="CC273" s="7"/>
      <c r="CD273" s="7"/>
      <c r="CE273" s="7"/>
      <c r="CF273" s="7"/>
      <c r="CG273" s="7"/>
      <c r="CH273" s="7"/>
      <c r="CI273" s="7"/>
      <c r="CJ273" s="7"/>
      <c r="CK273" s="7"/>
      <c r="CL273" s="7"/>
      <c r="CM273" s="7"/>
      <c r="CN273" s="7"/>
      <c r="CO273" s="7"/>
      <c r="CP273" s="7"/>
      <c r="CQ273" s="7"/>
      <c r="CR273" s="7"/>
      <c r="CS273" s="7"/>
      <c r="CT273" s="7"/>
      <c r="CU273" s="7"/>
      <c r="CV273" s="7"/>
      <c r="CW273" s="7"/>
      <c r="CX273" s="7"/>
      <c r="CY273" s="7"/>
      <c r="CZ273" s="7"/>
      <c r="DA273" s="7"/>
      <c r="DB273" s="7"/>
      <c r="DC273" s="7"/>
      <c r="DD273" s="7"/>
      <c r="DE273" s="7"/>
      <c r="DF273" s="7"/>
      <c r="DG273" s="7"/>
      <c r="DH273" s="7"/>
      <c r="DI273" s="7"/>
      <c r="DJ273" s="7"/>
      <c r="DK273" s="7"/>
      <c r="DL273" s="7"/>
      <c r="DM273" s="7"/>
      <c r="DN273" s="7"/>
      <c r="DO273" s="7"/>
      <c r="DP273" s="7"/>
      <c r="DQ273" s="7"/>
      <c r="DR273" s="7"/>
      <c r="DS273" s="7"/>
      <c r="DT273" s="7"/>
      <c r="DU273" s="7"/>
      <c r="DV273" s="7"/>
      <c r="DW273" s="7"/>
      <c r="DX273" s="7"/>
      <c r="DY273" s="7"/>
      <c r="DZ273" s="7"/>
    </row>
    <row r="274" spans="1:130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7"/>
      <c r="BN274" s="7"/>
      <c r="BO274" s="7"/>
      <c r="BP274" s="7"/>
      <c r="BQ274" s="7"/>
      <c r="BR274" s="7"/>
      <c r="BS274" s="7"/>
      <c r="BT274" s="7"/>
      <c r="BU274" s="7"/>
      <c r="BV274" s="7"/>
      <c r="BW274" s="7"/>
      <c r="BX274" s="7"/>
      <c r="BY274" s="7"/>
      <c r="BZ274" s="7"/>
      <c r="CA274" s="7"/>
      <c r="CB274" s="7"/>
      <c r="CC274" s="7"/>
      <c r="CD274" s="7"/>
      <c r="CE274" s="7"/>
      <c r="CF274" s="7"/>
      <c r="CG274" s="7"/>
      <c r="CH274" s="7"/>
      <c r="CI274" s="7"/>
      <c r="CJ274" s="7"/>
      <c r="CK274" s="7"/>
      <c r="CL274" s="7"/>
      <c r="CM274" s="7"/>
      <c r="CN274" s="7"/>
      <c r="CO274" s="7"/>
      <c r="CP274" s="7"/>
      <c r="CQ274" s="7"/>
      <c r="CR274" s="7"/>
      <c r="CS274" s="7"/>
      <c r="CT274" s="7"/>
      <c r="CU274" s="7"/>
      <c r="CV274" s="7"/>
      <c r="CW274" s="7"/>
      <c r="CX274" s="7"/>
      <c r="CY274" s="7"/>
      <c r="CZ274" s="7"/>
      <c r="DA274" s="7"/>
      <c r="DB274" s="7"/>
      <c r="DC274" s="7"/>
      <c r="DD274" s="7"/>
      <c r="DE274" s="7"/>
      <c r="DF274" s="7"/>
      <c r="DG274" s="7"/>
      <c r="DH274" s="7"/>
      <c r="DI274" s="7"/>
      <c r="DJ274" s="7"/>
      <c r="DK274" s="7"/>
      <c r="DL274" s="7"/>
      <c r="DM274" s="7"/>
      <c r="DN274" s="7"/>
      <c r="DO274" s="7"/>
      <c r="DP274" s="7"/>
      <c r="DQ274" s="7"/>
      <c r="DR274" s="7"/>
      <c r="DS274" s="7"/>
      <c r="DT274" s="7"/>
      <c r="DU274" s="7"/>
      <c r="DV274" s="7"/>
      <c r="DW274" s="7"/>
      <c r="DX274" s="7"/>
      <c r="DY274" s="7"/>
      <c r="DZ274" s="7"/>
    </row>
    <row r="275" spans="1:130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7"/>
      <c r="BN275" s="7"/>
      <c r="BO275" s="7"/>
      <c r="BP275" s="7"/>
      <c r="BQ275" s="7"/>
      <c r="BR275" s="7"/>
      <c r="BS275" s="7"/>
      <c r="BT275" s="7"/>
      <c r="BU275" s="7"/>
      <c r="BV275" s="7"/>
      <c r="BW275" s="7"/>
      <c r="BX275" s="7"/>
      <c r="BY275" s="7"/>
      <c r="BZ275" s="7"/>
      <c r="CA275" s="7"/>
      <c r="CB275" s="7"/>
      <c r="CC275" s="7"/>
      <c r="CD275" s="7"/>
      <c r="CE275" s="7"/>
      <c r="CF275" s="7"/>
      <c r="CG275" s="7"/>
      <c r="CH275" s="7"/>
      <c r="CI275" s="7"/>
      <c r="CJ275" s="7"/>
      <c r="CK275" s="7"/>
      <c r="CL275" s="7"/>
      <c r="CM275" s="7"/>
      <c r="CN275" s="7"/>
      <c r="CO275" s="7"/>
      <c r="CP275" s="7"/>
      <c r="CQ275" s="7"/>
      <c r="CR275" s="7"/>
      <c r="CS275" s="7"/>
      <c r="CT275" s="7"/>
      <c r="CU275" s="7"/>
      <c r="CV275" s="7"/>
      <c r="CW275" s="7"/>
      <c r="CX275" s="7"/>
      <c r="CY275" s="7"/>
      <c r="CZ275" s="7"/>
      <c r="DA275" s="7"/>
      <c r="DB275" s="7"/>
      <c r="DC275" s="7"/>
      <c r="DD275" s="7"/>
      <c r="DE275" s="7"/>
      <c r="DF275" s="7"/>
      <c r="DG275" s="7"/>
      <c r="DH275" s="7"/>
      <c r="DI275" s="7"/>
      <c r="DJ275" s="7"/>
      <c r="DK275" s="7"/>
      <c r="DL275" s="7"/>
      <c r="DM275" s="7"/>
      <c r="DN275" s="7"/>
      <c r="DO275" s="7"/>
      <c r="DP275" s="7"/>
      <c r="DQ275" s="7"/>
      <c r="DR275" s="7"/>
      <c r="DS275" s="7"/>
      <c r="DT275" s="7"/>
      <c r="DU275" s="7"/>
      <c r="DV275" s="7"/>
      <c r="DW275" s="7"/>
      <c r="DX275" s="7"/>
      <c r="DY275" s="7"/>
      <c r="DZ275" s="7"/>
    </row>
    <row r="276" spans="1:130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7"/>
      <c r="BN276" s="7"/>
      <c r="BO276" s="7"/>
      <c r="BP276" s="7"/>
      <c r="BQ276" s="7"/>
      <c r="BR276" s="7"/>
      <c r="BS276" s="7"/>
      <c r="BT276" s="7"/>
      <c r="BU276" s="7"/>
      <c r="BV276" s="7"/>
      <c r="BW276" s="7"/>
      <c r="BX276" s="7"/>
      <c r="BY276" s="7"/>
      <c r="BZ276" s="7"/>
      <c r="CA276" s="7"/>
      <c r="CB276" s="7"/>
      <c r="CC276" s="7"/>
      <c r="CD276" s="7"/>
      <c r="CE276" s="7"/>
      <c r="CF276" s="7"/>
      <c r="CG276" s="7"/>
      <c r="CH276" s="7"/>
      <c r="CI276" s="7"/>
      <c r="CJ276" s="7"/>
      <c r="CK276" s="7"/>
      <c r="CL276" s="7"/>
      <c r="CM276" s="7"/>
      <c r="CN276" s="7"/>
      <c r="CO276" s="7"/>
      <c r="CP276" s="7"/>
      <c r="CQ276" s="7"/>
      <c r="CR276" s="7"/>
      <c r="CS276" s="7"/>
      <c r="CT276" s="7"/>
      <c r="CU276" s="7"/>
      <c r="CV276" s="7"/>
      <c r="CW276" s="7"/>
      <c r="CX276" s="7"/>
      <c r="CY276" s="7"/>
      <c r="CZ276" s="7"/>
      <c r="DA276" s="7"/>
      <c r="DB276" s="7"/>
      <c r="DC276" s="7"/>
      <c r="DD276" s="7"/>
      <c r="DE276" s="7"/>
      <c r="DF276" s="7"/>
      <c r="DG276" s="7"/>
      <c r="DH276" s="7"/>
      <c r="DI276" s="7"/>
      <c r="DJ276" s="7"/>
      <c r="DK276" s="7"/>
      <c r="DL276" s="7"/>
      <c r="DM276" s="7"/>
      <c r="DN276" s="7"/>
      <c r="DO276" s="7"/>
      <c r="DP276" s="7"/>
      <c r="DQ276" s="7"/>
      <c r="DR276" s="7"/>
      <c r="DS276" s="7"/>
      <c r="DT276" s="7"/>
      <c r="DU276" s="7"/>
      <c r="DV276" s="7"/>
      <c r="DW276" s="7"/>
      <c r="DX276" s="7"/>
      <c r="DY276" s="7"/>
      <c r="DZ276" s="7"/>
    </row>
    <row r="277" spans="1:130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7"/>
      <c r="BN277" s="7"/>
      <c r="BO277" s="7"/>
      <c r="BP277" s="7"/>
      <c r="BQ277" s="7"/>
      <c r="BR277" s="7"/>
      <c r="BS277" s="7"/>
      <c r="BT277" s="7"/>
      <c r="BU277" s="7"/>
      <c r="BV277" s="7"/>
      <c r="BW277" s="7"/>
      <c r="BX277" s="7"/>
      <c r="BY277" s="7"/>
      <c r="BZ277" s="7"/>
      <c r="CA277" s="7"/>
      <c r="CB277" s="7"/>
      <c r="CC277" s="7"/>
      <c r="CD277" s="7"/>
      <c r="CE277" s="7"/>
      <c r="CF277" s="7"/>
      <c r="CG277" s="7"/>
      <c r="CH277" s="7"/>
      <c r="CI277" s="7"/>
      <c r="CJ277" s="7"/>
      <c r="CK277" s="7"/>
      <c r="CL277" s="7"/>
      <c r="CM277" s="7"/>
      <c r="CN277" s="7"/>
      <c r="CO277" s="7"/>
      <c r="CP277" s="7"/>
      <c r="CQ277" s="7"/>
      <c r="CR277" s="7"/>
      <c r="CS277" s="7"/>
      <c r="CT277" s="7"/>
      <c r="CU277" s="7"/>
      <c r="CV277" s="7"/>
      <c r="CW277" s="7"/>
      <c r="CX277" s="7"/>
      <c r="CY277" s="7"/>
      <c r="CZ277" s="7"/>
      <c r="DA277" s="7"/>
      <c r="DB277" s="7"/>
      <c r="DC277" s="7"/>
      <c r="DD277" s="7"/>
      <c r="DE277" s="7"/>
      <c r="DF277" s="7"/>
      <c r="DG277" s="7"/>
      <c r="DH277" s="7"/>
      <c r="DI277" s="7"/>
      <c r="DJ277" s="7"/>
      <c r="DK277" s="7"/>
      <c r="DL277" s="7"/>
      <c r="DM277" s="7"/>
      <c r="DN277" s="7"/>
      <c r="DO277" s="7"/>
      <c r="DP277" s="7"/>
      <c r="DQ277" s="7"/>
      <c r="DR277" s="7"/>
      <c r="DS277" s="7"/>
      <c r="DT277" s="7"/>
      <c r="DU277" s="7"/>
      <c r="DV277" s="7"/>
      <c r="DW277" s="7"/>
      <c r="DX277" s="7"/>
      <c r="DY277" s="7"/>
      <c r="DZ277" s="7"/>
    </row>
    <row r="278" spans="1:130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7"/>
      <c r="BN278" s="7"/>
      <c r="BO278" s="7"/>
      <c r="BP278" s="7"/>
      <c r="BQ278" s="7"/>
      <c r="BR278" s="7"/>
      <c r="BS278" s="7"/>
      <c r="BT278" s="7"/>
      <c r="BU278" s="7"/>
      <c r="BV278" s="7"/>
      <c r="BW278" s="7"/>
      <c r="BX278" s="7"/>
      <c r="BY278" s="7"/>
      <c r="BZ278" s="7"/>
      <c r="CA278" s="7"/>
      <c r="CB278" s="7"/>
      <c r="CC278" s="7"/>
      <c r="CD278" s="7"/>
      <c r="CE278" s="7"/>
      <c r="CF278" s="7"/>
      <c r="CG278" s="7"/>
      <c r="CH278" s="7"/>
      <c r="CI278" s="7"/>
      <c r="CJ278" s="7"/>
      <c r="CK278" s="7"/>
      <c r="CL278" s="7"/>
      <c r="CM278" s="7"/>
      <c r="CN278" s="7"/>
      <c r="CO278" s="7"/>
      <c r="CP278" s="7"/>
      <c r="CQ278" s="7"/>
      <c r="CR278" s="7"/>
      <c r="CS278" s="7"/>
      <c r="CT278" s="7"/>
      <c r="CU278" s="7"/>
      <c r="CV278" s="7"/>
      <c r="CW278" s="7"/>
      <c r="CX278" s="7"/>
      <c r="CY278" s="7"/>
      <c r="CZ278" s="7"/>
      <c r="DA278" s="7"/>
      <c r="DB278" s="7"/>
      <c r="DC278" s="7"/>
      <c r="DD278" s="7"/>
      <c r="DE278" s="7"/>
      <c r="DF278" s="7"/>
      <c r="DG278" s="7"/>
      <c r="DH278" s="7"/>
      <c r="DI278" s="7"/>
      <c r="DJ278" s="7"/>
      <c r="DK278" s="7"/>
      <c r="DL278" s="7"/>
      <c r="DM278" s="7"/>
      <c r="DN278" s="7"/>
      <c r="DO278" s="7"/>
      <c r="DP278" s="7"/>
      <c r="DQ278" s="7"/>
      <c r="DR278" s="7"/>
      <c r="DS278" s="7"/>
      <c r="DT278" s="7"/>
      <c r="DU278" s="7"/>
      <c r="DV278" s="7"/>
      <c r="DW278" s="7"/>
      <c r="DX278" s="7"/>
      <c r="DY278" s="7"/>
      <c r="DZ278" s="7"/>
    </row>
    <row r="279" spans="1:130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7"/>
      <c r="BN279" s="7"/>
      <c r="BO279" s="7"/>
      <c r="BP279" s="7"/>
      <c r="BQ279" s="7"/>
      <c r="BR279" s="7"/>
      <c r="BS279" s="7"/>
      <c r="BT279" s="7"/>
      <c r="BU279" s="7"/>
      <c r="BV279" s="7"/>
      <c r="BW279" s="7"/>
      <c r="BX279" s="7"/>
      <c r="BY279" s="7"/>
      <c r="BZ279" s="7"/>
      <c r="CA279" s="7"/>
      <c r="CB279" s="7"/>
      <c r="CC279" s="7"/>
      <c r="CD279" s="7"/>
      <c r="CE279" s="7"/>
      <c r="CF279" s="7"/>
      <c r="CG279" s="7"/>
      <c r="CH279" s="7"/>
      <c r="CI279" s="7"/>
      <c r="CJ279" s="7"/>
      <c r="CK279" s="7"/>
      <c r="CL279" s="7"/>
      <c r="CM279" s="7"/>
      <c r="CN279" s="7"/>
      <c r="CO279" s="7"/>
      <c r="CP279" s="7"/>
      <c r="CQ279" s="7"/>
      <c r="CR279" s="7"/>
      <c r="CS279" s="7"/>
      <c r="CT279" s="7"/>
      <c r="CU279" s="7"/>
      <c r="CV279" s="7"/>
      <c r="CW279" s="7"/>
      <c r="CX279" s="7"/>
      <c r="CY279" s="7"/>
      <c r="CZ279" s="7"/>
      <c r="DA279" s="7"/>
      <c r="DB279" s="7"/>
      <c r="DC279" s="7"/>
      <c r="DD279" s="7"/>
      <c r="DE279" s="7"/>
      <c r="DF279" s="7"/>
      <c r="DG279" s="7"/>
      <c r="DH279" s="7"/>
      <c r="DI279" s="7"/>
      <c r="DJ279" s="7"/>
      <c r="DK279" s="7"/>
      <c r="DL279" s="7"/>
      <c r="DM279" s="7"/>
      <c r="DN279" s="7"/>
      <c r="DO279" s="7"/>
      <c r="DP279" s="7"/>
      <c r="DQ279" s="7"/>
      <c r="DR279" s="7"/>
      <c r="DS279" s="7"/>
      <c r="DT279" s="7"/>
      <c r="DU279" s="7"/>
      <c r="DV279" s="7"/>
      <c r="DW279" s="7"/>
      <c r="DX279" s="7"/>
      <c r="DY279" s="7"/>
      <c r="DZ279" s="7"/>
    </row>
    <row r="280" spans="1:13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7"/>
      <c r="BN280" s="7"/>
      <c r="BO280" s="7"/>
      <c r="BP280" s="7"/>
      <c r="BQ280" s="7"/>
      <c r="BR280" s="7"/>
      <c r="BS280" s="7"/>
      <c r="BT280" s="7"/>
      <c r="BU280" s="7"/>
      <c r="BV280" s="7"/>
      <c r="BW280" s="7"/>
      <c r="BX280" s="7"/>
      <c r="BY280" s="7"/>
      <c r="BZ280" s="7"/>
      <c r="CA280" s="7"/>
      <c r="CB280" s="7"/>
      <c r="CC280" s="7"/>
      <c r="CD280" s="7"/>
      <c r="CE280" s="7"/>
      <c r="CF280" s="7"/>
      <c r="CG280" s="7"/>
      <c r="CH280" s="7"/>
      <c r="CI280" s="7"/>
      <c r="CJ280" s="7"/>
      <c r="CK280" s="7"/>
      <c r="CL280" s="7"/>
      <c r="CM280" s="7"/>
      <c r="CN280" s="7"/>
      <c r="CO280" s="7"/>
      <c r="CP280" s="7"/>
      <c r="CQ280" s="7"/>
      <c r="CR280" s="7"/>
      <c r="CS280" s="7"/>
      <c r="CT280" s="7"/>
      <c r="CU280" s="7"/>
      <c r="CV280" s="7"/>
      <c r="CW280" s="7"/>
      <c r="CX280" s="7"/>
      <c r="CY280" s="7"/>
      <c r="CZ280" s="7"/>
      <c r="DA280" s="7"/>
      <c r="DB280" s="7"/>
      <c r="DC280" s="7"/>
      <c r="DD280" s="7"/>
      <c r="DE280" s="7"/>
      <c r="DF280" s="7"/>
      <c r="DG280" s="7"/>
      <c r="DH280" s="7"/>
      <c r="DI280" s="7"/>
      <c r="DJ280" s="7"/>
      <c r="DK280" s="7"/>
      <c r="DL280" s="7"/>
      <c r="DM280" s="7"/>
      <c r="DN280" s="7"/>
      <c r="DO280" s="7"/>
      <c r="DP280" s="7"/>
      <c r="DQ280" s="7"/>
      <c r="DR280" s="7"/>
      <c r="DS280" s="7"/>
      <c r="DT280" s="7"/>
      <c r="DU280" s="7"/>
      <c r="DV280" s="7"/>
      <c r="DW280" s="7"/>
      <c r="DX280" s="7"/>
      <c r="DY280" s="7"/>
      <c r="DZ280" s="7"/>
    </row>
    <row r="281" spans="1:130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7"/>
      <c r="BN281" s="7"/>
      <c r="BO281" s="7"/>
      <c r="BP281" s="7"/>
      <c r="BQ281" s="7"/>
      <c r="BR281" s="7"/>
      <c r="BS281" s="7"/>
      <c r="BT281" s="7"/>
      <c r="BU281" s="7"/>
      <c r="BV281" s="7"/>
      <c r="BW281" s="7"/>
      <c r="BX281" s="7"/>
      <c r="BY281" s="7"/>
      <c r="BZ281" s="7"/>
      <c r="CA281" s="7"/>
      <c r="CB281" s="7"/>
      <c r="CC281" s="7"/>
      <c r="CD281" s="7"/>
      <c r="CE281" s="7"/>
      <c r="CF281" s="7"/>
      <c r="CG281" s="7"/>
      <c r="CH281" s="7"/>
      <c r="CI281" s="7"/>
      <c r="CJ281" s="7"/>
      <c r="CK281" s="7"/>
      <c r="CL281" s="7"/>
      <c r="CM281" s="7"/>
      <c r="CN281" s="7"/>
      <c r="CO281" s="7"/>
      <c r="CP281" s="7"/>
      <c r="CQ281" s="7"/>
      <c r="CR281" s="7"/>
      <c r="CS281" s="7"/>
      <c r="CT281" s="7"/>
      <c r="CU281" s="7"/>
      <c r="CV281" s="7"/>
      <c r="CW281" s="7"/>
      <c r="CX281" s="7"/>
      <c r="CY281" s="7"/>
      <c r="CZ281" s="7"/>
      <c r="DA281" s="7"/>
      <c r="DB281" s="7"/>
      <c r="DC281" s="7"/>
      <c r="DD281" s="7"/>
      <c r="DE281" s="7"/>
      <c r="DF281" s="7"/>
      <c r="DG281" s="7"/>
      <c r="DH281" s="7"/>
      <c r="DI281" s="7"/>
      <c r="DJ281" s="7"/>
      <c r="DK281" s="7"/>
      <c r="DL281" s="7"/>
      <c r="DM281" s="7"/>
      <c r="DN281" s="7"/>
      <c r="DO281" s="7"/>
      <c r="DP281" s="7"/>
      <c r="DQ281" s="7"/>
      <c r="DR281" s="7"/>
      <c r="DS281" s="7"/>
      <c r="DT281" s="7"/>
      <c r="DU281" s="7"/>
      <c r="DV281" s="7"/>
      <c r="DW281" s="7"/>
      <c r="DX281" s="7"/>
      <c r="DY281" s="7"/>
      <c r="DZ281" s="7"/>
    </row>
    <row r="282" spans="1:130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7"/>
      <c r="BN282" s="7"/>
      <c r="BO282" s="7"/>
      <c r="BP282" s="7"/>
      <c r="BQ282" s="7"/>
      <c r="BR282" s="7"/>
      <c r="BS282" s="7"/>
      <c r="BT282" s="7"/>
      <c r="BU282" s="7"/>
      <c r="BV282" s="7"/>
      <c r="BW282" s="7"/>
      <c r="BX282" s="7"/>
      <c r="BY282" s="7"/>
      <c r="BZ282" s="7"/>
      <c r="CA282" s="7"/>
      <c r="CB282" s="7"/>
      <c r="CC282" s="7"/>
      <c r="CD282" s="7"/>
      <c r="CE282" s="7"/>
      <c r="CF282" s="7"/>
      <c r="CG282" s="7"/>
      <c r="CH282" s="7"/>
      <c r="CI282" s="7"/>
      <c r="CJ282" s="7"/>
      <c r="CK282" s="7"/>
      <c r="CL282" s="7"/>
      <c r="CM282" s="7"/>
      <c r="CN282" s="7"/>
      <c r="CO282" s="7"/>
      <c r="CP282" s="7"/>
      <c r="CQ282" s="7"/>
      <c r="CR282" s="7"/>
      <c r="CS282" s="7"/>
      <c r="CT282" s="7"/>
      <c r="CU282" s="7"/>
      <c r="CV282" s="7"/>
      <c r="CW282" s="7"/>
      <c r="CX282" s="7"/>
      <c r="CY282" s="7"/>
      <c r="CZ282" s="7"/>
      <c r="DA282" s="7"/>
      <c r="DB282" s="7"/>
      <c r="DC282" s="7"/>
      <c r="DD282" s="7"/>
      <c r="DE282" s="7"/>
      <c r="DF282" s="7"/>
      <c r="DG282" s="7"/>
      <c r="DH282" s="7"/>
      <c r="DI282" s="7"/>
      <c r="DJ282" s="7"/>
      <c r="DK282" s="7"/>
      <c r="DL282" s="7"/>
      <c r="DM282" s="7"/>
      <c r="DN282" s="7"/>
      <c r="DO282" s="7"/>
      <c r="DP282" s="7"/>
      <c r="DQ282" s="7"/>
      <c r="DR282" s="7"/>
      <c r="DS282" s="7"/>
      <c r="DT282" s="7"/>
      <c r="DU282" s="7"/>
      <c r="DV282" s="7"/>
      <c r="DW282" s="7"/>
      <c r="DX282" s="7"/>
      <c r="DY282" s="7"/>
      <c r="DZ282" s="7"/>
    </row>
    <row r="283" spans="1:130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7"/>
      <c r="BN283" s="7"/>
      <c r="BO283" s="7"/>
      <c r="BP283" s="7"/>
      <c r="BQ283" s="7"/>
      <c r="BR283" s="7"/>
      <c r="BS283" s="7"/>
      <c r="BT283" s="7"/>
      <c r="BU283" s="7"/>
      <c r="BV283" s="7"/>
      <c r="BW283" s="7"/>
      <c r="BX283" s="7"/>
      <c r="BY283" s="7"/>
      <c r="BZ283" s="7"/>
      <c r="CA283" s="7"/>
      <c r="CB283" s="7"/>
      <c r="CC283" s="7"/>
      <c r="CD283" s="7"/>
      <c r="CE283" s="7"/>
      <c r="CF283" s="7"/>
      <c r="CG283" s="7"/>
      <c r="CH283" s="7"/>
      <c r="CI283" s="7"/>
      <c r="CJ283" s="7"/>
      <c r="CK283" s="7"/>
      <c r="CL283" s="7"/>
      <c r="CM283" s="7"/>
      <c r="CN283" s="7"/>
      <c r="CO283" s="7"/>
      <c r="CP283" s="7"/>
      <c r="CQ283" s="7"/>
      <c r="CR283" s="7"/>
      <c r="CS283" s="7"/>
      <c r="CT283" s="7"/>
      <c r="CU283" s="7"/>
      <c r="CV283" s="7"/>
      <c r="CW283" s="7"/>
      <c r="CX283" s="7"/>
      <c r="CY283" s="7"/>
      <c r="CZ283" s="7"/>
      <c r="DA283" s="7"/>
      <c r="DB283" s="7"/>
      <c r="DC283" s="7"/>
      <c r="DD283" s="7"/>
      <c r="DE283" s="7"/>
      <c r="DF283" s="7"/>
      <c r="DG283" s="7"/>
      <c r="DH283" s="7"/>
      <c r="DI283" s="7"/>
      <c r="DJ283" s="7"/>
      <c r="DK283" s="7"/>
      <c r="DL283" s="7"/>
      <c r="DM283" s="7"/>
      <c r="DN283" s="7"/>
      <c r="DO283" s="7"/>
      <c r="DP283" s="7"/>
      <c r="DQ283" s="7"/>
      <c r="DR283" s="7"/>
      <c r="DS283" s="7"/>
      <c r="DT283" s="7"/>
      <c r="DU283" s="7"/>
      <c r="DV283" s="7"/>
      <c r="DW283" s="7"/>
      <c r="DX283" s="7"/>
      <c r="DY283" s="7"/>
      <c r="DZ283" s="7"/>
    </row>
    <row r="284" spans="1:130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7"/>
      <c r="BN284" s="7"/>
      <c r="BO284" s="7"/>
      <c r="BP284" s="7"/>
      <c r="BQ284" s="7"/>
      <c r="BR284" s="7"/>
      <c r="BS284" s="7"/>
      <c r="BT284" s="7"/>
      <c r="BU284" s="7"/>
      <c r="BV284" s="7"/>
      <c r="BW284" s="7"/>
      <c r="BX284" s="7"/>
      <c r="BY284" s="7"/>
      <c r="BZ284" s="7"/>
      <c r="CA284" s="7"/>
      <c r="CB284" s="7"/>
      <c r="CC284" s="7"/>
      <c r="CD284" s="7"/>
      <c r="CE284" s="7"/>
      <c r="CF284" s="7"/>
      <c r="CG284" s="7"/>
      <c r="CH284" s="7"/>
      <c r="CI284" s="7"/>
      <c r="CJ284" s="7"/>
      <c r="CK284" s="7"/>
      <c r="CL284" s="7"/>
      <c r="CM284" s="7"/>
      <c r="CN284" s="7"/>
      <c r="CO284" s="7"/>
      <c r="CP284" s="7"/>
      <c r="CQ284" s="7"/>
      <c r="CR284" s="7"/>
      <c r="CS284" s="7"/>
      <c r="CT284" s="7"/>
      <c r="CU284" s="7"/>
      <c r="CV284" s="7"/>
      <c r="CW284" s="7"/>
      <c r="CX284" s="7"/>
      <c r="CY284" s="7"/>
      <c r="CZ284" s="7"/>
      <c r="DA284" s="7"/>
      <c r="DB284" s="7"/>
      <c r="DC284" s="7"/>
      <c r="DD284" s="7"/>
      <c r="DE284" s="7"/>
      <c r="DF284" s="7"/>
      <c r="DG284" s="7"/>
      <c r="DH284" s="7"/>
      <c r="DI284" s="7"/>
      <c r="DJ284" s="7"/>
      <c r="DK284" s="7"/>
      <c r="DL284" s="7"/>
      <c r="DM284" s="7"/>
      <c r="DN284" s="7"/>
      <c r="DO284" s="7"/>
      <c r="DP284" s="7"/>
      <c r="DQ284" s="7"/>
      <c r="DR284" s="7"/>
      <c r="DS284" s="7"/>
      <c r="DT284" s="7"/>
      <c r="DU284" s="7"/>
      <c r="DV284" s="7"/>
      <c r="DW284" s="7"/>
      <c r="DX284" s="7"/>
      <c r="DY284" s="7"/>
      <c r="DZ284" s="7"/>
    </row>
    <row r="285" spans="1:130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7"/>
      <c r="BN285" s="7"/>
      <c r="BO285" s="7"/>
      <c r="BP285" s="7"/>
      <c r="BQ285" s="7"/>
      <c r="BR285" s="7"/>
      <c r="BS285" s="7"/>
      <c r="BT285" s="7"/>
      <c r="BU285" s="7"/>
      <c r="BV285" s="7"/>
      <c r="BW285" s="7"/>
      <c r="BX285" s="7"/>
      <c r="BY285" s="7"/>
      <c r="BZ285" s="7"/>
      <c r="CA285" s="7"/>
      <c r="CB285" s="7"/>
      <c r="CC285" s="7"/>
      <c r="CD285" s="7"/>
      <c r="CE285" s="7"/>
      <c r="CF285" s="7"/>
      <c r="CG285" s="7"/>
      <c r="CH285" s="7"/>
      <c r="CI285" s="7"/>
      <c r="CJ285" s="7"/>
      <c r="CK285" s="7"/>
      <c r="CL285" s="7"/>
      <c r="CM285" s="7"/>
      <c r="CN285" s="7"/>
      <c r="CO285" s="7"/>
      <c r="CP285" s="7"/>
      <c r="CQ285" s="7"/>
      <c r="CR285" s="7"/>
      <c r="CS285" s="7"/>
      <c r="CT285" s="7"/>
      <c r="CU285" s="7"/>
      <c r="CV285" s="7"/>
      <c r="CW285" s="7"/>
      <c r="CX285" s="7"/>
      <c r="CY285" s="7"/>
      <c r="CZ285" s="7"/>
      <c r="DA285" s="7"/>
      <c r="DB285" s="7"/>
      <c r="DC285" s="7"/>
      <c r="DD285" s="7"/>
      <c r="DE285" s="7"/>
      <c r="DF285" s="7"/>
      <c r="DG285" s="7"/>
      <c r="DH285" s="7"/>
      <c r="DI285" s="7"/>
      <c r="DJ285" s="7"/>
      <c r="DK285" s="7"/>
      <c r="DL285" s="7"/>
      <c r="DM285" s="7"/>
      <c r="DN285" s="7"/>
      <c r="DO285" s="7"/>
      <c r="DP285" s="7"/>
      <c r="DQ285" s="7"/>
      <c r="DR285" s="7"/>
      <c r="DS285" s="7"/>
      <c r="DT285" s="7"/>
      <c r="DU285" s="7"/>
      <c r="DV285" s="7"/>
      <c r="DW285" s="7"/>
      <c r="DX285" s="7"/>
      <c r="DY285" s="7"/>
      <c r="DZ285" s="7"/>
    </row>
    <row r="286" spans="1:130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7"/>
      <c r="BM286" s="7"/>
      <c r="BN286" s="7"/>
      <c r="BO286" s="7"/>
      <c r="BP286" s="7"/>
      <c r="BQ286" s="7"/>
      <c r="BR286" s="7"/>
      <c r="BS286" s="7"/>
      <c r="BT286" s="7"/>
      <c r="BU286" s="7"/>
      <c r="BV286" s="7"/>
      <c r="BW286" s="7"/>
      <c r="BX286" s="7"/>
      <c r="BY286" s="7"/>
      <c r="BZ286" s="7"/>
      <c r="CA286" s="7"/>
      <c r="CB286" s="7"/>
      <c r="CC286" s="7"/>
      <c r="CD286" s="7"/>
      <c r="CE286" s="7"/>
      <c r="CF286" s="7"/>
      <c r="CG286" s="7"/>
      <c r="CH286" s="7"/>
      <c r="CI286" s="7"/>
      <c r="CJ286" s="7"/>
      <c r="CK286" s="7"/>
      <c r="CL286" s="7"/>
      <c r="CM286" s="7"/>
      <c r="CN286" s="7"/>
      <c r="CO286" s="7"/>
      <c r="CP286" s="7"/>
      <c r="CQ286" s="7"/>
      <c r="CR286" s="7"/>
      <c r="CS286" s="7"/>
      <c r="CT286" s="7"/>
      <c r="CU286" s="7"/>
      <c r="CV286" s="7"/>
      <c r="CW286" s="7"/>
      <c r="CX286" s="7"/>
      <c r="CY286" s="7"/>
      <c r="CZ286" s="7"/>
      <c r="DA286" s="7"/>
      <c r="DB286" s="7"/>
      <c r="DC286" s="7"/>
      <c r="DD286" s="7"/>
      <c r="DE286" s="7"/>
      <c r="DF286" s="7"/>
      <c r="DG286" s="7"/>
      <c r="DH286" s="7"/>
      <c r="DI286" s="7"/>
      <c r="DJ286" s="7"/>
      <c r="DK286" s="7"/>
      <c r="DL286" s="7"/>
      <c r="DM286" s="7"/>
      <c r="DN286" s="7"/>
      <c r="DO286" s="7"/>
      <c r="DP286" s="7"/>
      <c r="DQ286" s="7"/>
      <c r="DR286" s="7"/>
      <c r="DS286" s="7"/>
      <c r="DT286" s="7"/>
      <c r="DU286" s="7"/>
      <c r="DV286" s="7"/>
      <c r="DW286" s="7"/>
      <c r="DX286" s="7"/>
      <c r="DY286" s="7"/>
      <c r="DZ286" s="7"/>
    </row>
    <row r="287" spans="1:130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7"/>
      <c r="BN287" s="7"/>
      <c r="BO287" s="7"/>
      <c r="BP287" s="7"/>
      <c r="BQ287" s="7"/>
      <c r="BR287" s="7"/>
      <c r="BS287" s="7"/>
      <c r="BT287" s="7"/>
      <c r="BU287" s="7"/>
      <c r="BV287" s="7"/>
      <c r="BW287" s="7"/>
      <c r="BX287" s="7"/>
      <c r="BY287" s="7"/>
      <c r="BZ287" s="7"/>
      <c r="CA287" s="7"/>
      <c r="CB287" s="7"/>
      <c r="CC287" s="7"/>
      <c r="CD287" s="7"/>
      <c r="CE287" s="7"/>
      <c r="CF287" s="7"/>
      <c r="CG287" s="7"/>
      <c r="CH287" s="7"/>
      <c r="CI287" s="7"/>
      <c r="CJ287" s="7"/>
      <c r="CK287" s="7"/>
      <c r="CL287" s="7"/>
      <c r="CM287" s="7"/>
      <c r="CN287" s="7"/>
      <c r="CO287" s="7"/>
      <c r="CP287" s="7"/>
      <c r="CQ287" s="7"/>
      <c r="CR287" s="7"/>
      <c r="CS287" s="7"/>
      <c r="CT287" s="7"/>
      <c r="CU287" s="7"/>
      <c r="CV287" s="7"/>
      <c r="CW287" s="7"/>
      <c r="CX287" s="7"/>
      <c r="CY287" s="7"/>
      <c r="CZ287" s="7"/>
      <c r="DA287" s="7"/>
      <c r="DB287" s="7"/>
      <c r="DC287" s="7"/>
      <c r="DD287" s="7"/>
      <c r="DE287" s="7"/>
      <c r="DF287" s="7"/>
      <c r="DG287" s="7"/>
      <c r="DH287" s="7"/>
      <c r="DI287" s="7"/>
      <c r="DJ287" s="7"/>
      <c r="DK287" s="7"/>
      <c r="DL287" s="7"/>
      <c r="DM287" s="7"/>
      <c r="DN287" s="7"/>
      <c r="DO287" s="7"/>
      <c r="DP287" s="7"/>
      <c r="DQ287" s="7"/>
      <c r="DR287" s="7"/>
      <c r="DS287" s="7"/>
      <c r="DT287" s="7"/>
      <c r="DU287" s="7"/>
      <c r="DV287" s="7"/>
      <c r="DW287" s="7"/>
      <c r="DX287" s="7"/>
      <c r="DY287" s="7"/>
      <c r="DZ287" s="7"/>
    </row>
    <row r="288" spans="1:130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7"/>
      <c r="BM288" s="7"/>
      <c r="BN288" s="7"/>
      <c r="BO288" s="7"/>
      <c r="BP288" s="7"/>
      <c r="BQ288" s="7"/>
      <c r="BR288" s="7"/>
      <c r="BS288" s="7"/>
      <c r="BT288" s="7"/>
      <c r="BU288" s="7"/>
      <c r="BV288" s="7"/>
      <c r="BW288" s="7"/>
      <c r="BX288" s="7"/>
      <c r="BY288" s="7"/>
      <c r="BZ288" s="7"/>
      <c r="CA288" s="7"/>
      <c r="CB288" s="7"/>
      <c r="CC288" s="7"/>
      <c r="CD288" s="7"/>
      <c r="CE288" s="7"/>
      <c r="CF288" s="7"/>
      <c r="CG288" s="7"/>
      <c r="CH288" s="7"/>
      <c r="CI288" s="7"/>
      <c r="CJ288" s="7"/>
      <c r="CK288" s="7"/>
      <c r="CL288" s="7"/>
      <c r="CM288" s="7"/>
      <c r="CN288" s="7"/>
      <c r="CO288" s="7"/>
      <c r="CP288" s="7"/>
      <c r="CQ288" s="7"/>
      <c r="CR288" s="7"/>
      <c r="CS288" s="7"/>
      <c r="CT288" s="7"/>
      <c r="CU288" s="7"/>
      <c r="CV288" s="7"/>
      <c r="CW288" s="7"/>
      <c r="CX288" s="7"/>
      <c r="CY288" s="7"/>
      <c r="CZ288" s="7"/>
      <c r="DA288" s="7"/>
      <c r="DB288" s="7"/>
      <c r="DC288" s="7"/>
      <c r="DD288" s="7"/>
      <c r="DE288" s="7"/>
      <c r="DF288" s="7"/>
      <c r="DG288" s="7"/>
      <c r="DH288" s="7"/>
      <c r="DI288" s="7"/>
      <c r="DJ288" s="7"/>
      <c r="DK288" s="7"/>
      <c r="DL288" s="7"/>
      <c r="DM288" s="7"/>
      <c r="DN288" s="7"/>
      <c r="DO288" s="7"/>
      <c r="DP288" s="7"/>
      <c r="DQ288" s="7"/>
      <c r="DR288" s="7"/>
      <c r="DS288" s="7"/>
      <c r="DT288" s="7"/>
      <c r="DU288" s="7"/>
      <c r="DV288" s="7"/>
      <c r="DW288" s="7"/>
      <c r="DX288" s="7"/>
      <c r="DY288" s="7"/>
      <c r="DZ288" s="7"/>
    </row>
    <row r="289" spans="1:130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7"/>
      <c r="BM289" s="7"/>
      <c r="BN289" s="7"/>
      <c r="BO289" s="7"/>
      <c r="BP289" s="7"/>
      <c r="BQ289" s="7"/>
      <c r="BR289" s="7"/>
      <c r="BS289" s="7"/>
      <c r="BT289" s="7"/>
      <c r="BU289" s="7"/>
      <c r="BV289" s="7"/>
      <c r="BW289" s="7"/>
      <c r="BX289" s="7"/>
      <c r="BY289" s="7"/>
      <c r="BZ289" s="7"/>
      <c r="CA289" s="7"/>
      <c r="CB289" s="7"/>
      <c r="CC289" s="7"/>
      <c r="CD289" s="7"/>
      <c r="CE289" s="7"/>
      <c r="CF289" s="7"/>
      <c r="CG289" s="7"/>
      <c r="CH289" s="7"/>
      <c r="CI289" s="7"/>
      <c r="CJ289" s="7"/>
      <c r="CK289" s="7"/>
      <c r="CL289" s="7"/>
      <c r="CM289" s="7"/>
      <c r="CN289" s="7"/>
      <c r="CO289" s="7"/>
      <c r="CP289" s="7"/>
      <c r="CQ289" s="7"/>
      <c r="CR289" s="7"/>
      <c r="CS289" s="7"/>
      <c r="CT289" s="7"/>
      <c r="CU289" s="7"/>
      <c r="CV289" s="7"/>
      <c r="CW289" s="7"/>
      <c r="CX289" s="7"/>
      <c r="CY289" s="7"/>
      <c r="CZ289" s="7"/>
      <c r="DA289" s="7"/>
      <c r="DB289" s="7"/>
      <c r="DC289" s="7"/>
      <c r="DD289" s="7"/>
      <c r="DE289" s="7"/>
      <c r="DF289" s="7"/>
      <c r="DG289" s="7"/>
      <c r="DH289" s="7"/>
      <c r="DI289" s="7"/>
      <c r="DJ289" s="7"/>
      <c r="DK289" s="7"/>
      <c r="DL289" s="7"/>
      <c r="DM289" s="7"/>
      <c r="DN289" s="7"/>
      <c r="DO289" s="7"/>
      <c r="DP289" s="7"/>
      <c r="DQ289" s="7"/>
      <c r="DR289" s="7"/>
      <c r="DS289" s="7"/>
      <c r="DT289" s="7"/>
      <c r="DU289" s="7"/>
      <c r="DV289" s="7"/>
      <c r="DW289" s="7"/>
      <c r="DX289" s="7"/>
      <c r="DY289" s="7"/>
      <c r="DZ289" s="7"/>
    </row>
    <row r="290" spans="1:13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7"/>
      <c r="BN290" s="7"/>
      <c r="BO290" s="7"/>
      <c r="BP290" s="7"/>
      <c r="BQ290" s="7"/>
      <c r="BR290" s="7"/>
      <c r="BS290" s="7"/>
      <c r="BT290" s="7"/>
      <c r="BU290" s="7"/>
      <c r="BV290" s="7"/>
      <c r="BW290" s="7"/>
      <c r="BX290" s="7"/>
      <c r="BY290" s="7"/>
      <c r="BZ290" s="7"/>
      <c r="CA290" s="7"/>
      <c r="CB290" s="7"/>
      <c r="CC290" s="7"/>
      <c r="CD290" s="7"/>
      <c r="CE290" s="7"/>
      <c r="CF290" s="7"/>
      <c r="CG290" s="7"/>
      <c r="CH290" s="7"/>
      <c r="CI290" s="7"/>
      <c r="CJ290" s="7"/>
      <c r="CK290" s="7"/>
      <c r="CL290" s="7"/>
      <c r="CM290" s="7"/>
      <c r="CN290" s="7"/>
      <c r="CO290" s="7"/>
      <c r="CP290" s="7"/>
      <c r="CQ290" s="7"/>
      <c r="CR290" s="7"/>
      <c r="CS290" s="7"/>
      <c r="CT290" s="7"/>
      <c r="CU290" s="7"/>
      <c r="CV290" s="7"/>
      <c r="CW290" s="7"/>
      <c r="CX290" s="7"/>
      <c r="CY290" s="7"/>
      <c r="CZ290" s="7"/>
      <c r="DA290" s="7"/>
      <c r="DB290" s="7"/>
      <c r="DC290" s="7"/>
      <c r="DD290" s="7"/>
      <c r="DE290" s="7"/>
      <c r="DF290" s="7"/>
      <c r="DG290" s="7"/>
      <c r="DH290" s="7"/>
      <c r="DI290" s="7"/>
      <c r="DJ290" s="7"/>
      <c r="DK290" s="7"/>
      <c r="DL290" s="7"/>
      <c r="DM290" s="7"/>
      <c r="DN290" s="7"/>
      <c r="DO290" s="7"/>
      <c r="DP290" s="7"/>
      <c r="DQ290" s="7"/>
      <c r="DR290" s="7"/>
      <c r="DS290" s="7"/>
      <c r="DT290" s="7"/>
      <c r="DU290" s="7"/>
      <c r="DV290" s="7"/>
      <c r="DW290" s="7"/>
      <c r="DX290" s="7"/>
      <c r="DY290" s="7"/>
      <c r="DZ290" s="7"/>
    </row>
    <row r="291" spans="1:130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7"/>
      <c r="BM291" s="7"/>
      <c r="BN291" s="7"/>
      <c r="BO291" s="7"/>
      <c r="BP291" s="7"/>
      <c r="BQ291" s="7"/>
      <c r="BR291" s="7"/>
      <c r="BS291" s="7"/>
      <c r="BT291" s="7"/>
      <c r="BU291" s="7"/>
      <c r="BV291" s="7"/>
      <c r="BW291" s="7"/>
      <c r="BX291" s="7"/>
      <c r="BY291" s="7"/>
      <c r="BZ291" s="7"/>
      <c r="CA291" s="7"/>
      <c r="CB291" s="7"/>
      <c r="CC291" s="7"/>
      <c r="CD291" s="7"/>
      <c r="CE291" s="7"/>
      <c r="CF291" s="7"/>
      <c r="CG291" s="7"/>
      <c r="CH291" s="7"/>
      <c r="CI291" s="7"/>
      <c r="CJ291" s="7"/>
      <c r="CK291" s="7"/>
      <c r="CL291" s="7"/>
      <c r="CM291" s="7"/>
      <c r="CN291" s="7"/>
      <c r="CO291" s="7"/>
      <c r="CP291" s="7"/>
      <c r="CQ291" s="7"/>
      <c r="CR291" s="7"/>
      <c r="CS291" s="7"/>
      <c r="CT291" s="7"/>
      <c r="CU291" s="7"/>
      <c r="CV291" s="7"/>
      <c r="CW291" s="7"/>
      <c r="CX291" s="7"/>
      <c r="CY291" s="7"/>
      <c r="CZ291" s="7"/>
      <c r="DA291" s="7"/>
      <c r="DB291" s="7"/>
      <c r="DC291" s="7"/>
      <c r="DD291" s="7"/>
      <c r="DE291" s="7"/>
      <c r="DF291" s="7"/>
      <c r="DG291" s="7"/>
      <c r="DH291" s="7"/>
      <c r="DI291" s="7"/>
      <c r="DJ291" s="7"/>
      <c r="DK291" s="7"/>
      <c r="DL291" s="7"/>
      <c r="DM291" s="7"/>
      <c r="DN291" s="7"/>
      <c r="DO291" s="7"/>
      <c r="DP291" s="7"/>
      <c r="DQ291" s="7"/>
      <c r="DR291" s="7"/>
      <c r="DS291" s="7"/>
      <c r="DT291" s="7"/>
      <c r="DU291" s="7"/>
      <c r="DV291" s="7"/>
      <c r="DW291" s="7"/>
      <c r="DX291" s="7"/>
      <c r="DY291" s="7"/>
      <c r="DZ291" s="7"/>
    </row>
    <row r="292" spans="1:130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7"/>
      <c r="BN292" s="7"/>
      <c r="BO292" s="7"/>
      <c r="BP292" s="7"/>
      <c r="BQ292" s="7"/>
      <c r="BR292" s="7"/>
      <c r="BS292" s="7"/>
      <c r="BT292" s="7"/>
      <c r="BU292" s="7"/>
      <c r="BV292" s="7"/>
      <c r="BW292" s="7"/>
      <c r="BX292" s="7"/>
      <c r="BY292" s="7"/>
      <c r="BZ292" s="7"/>
      <c r="CA292" s="7"/>
      <c r="CB292" s="7"/>
      <c r="CC292" s="7"/>
      <c r="CD292" s="7"/>
      <c r="CE292" s="7"/>
      <c r="CF292" s="7"/>
      <c r="CG292" s="7"/>
      <c r="CH292" s="7"/>
      <c r="CI292" s="7"/>
      <c r="CJ292" s="7"/>
      <c r="CK292" s="7"/>
      <c r="CL292" s="7"/>
      <c r="CM292" s="7"/>
      <c r="CN292" s="7"/>
      <c r="CO292" s="7"/>
      <c r="CP292" s="7"/>
      <c r="CQ292" s="7"/>
      <c r="CR292" s="7"/>
      <c r="CS292" s="7"/>
      <c r="CT292" s="7"/>
      <c r="CU292" s="7"/>
      <c r="CV292" s="7"/>
      <c r="CW292" s="7"/>
      <c r="CX292" s="7"/>
      <c r="CY292" s="7"/>
      <c r="CZ292" s="7"/>
      <c r="DA292" s="7"/>
      <c r="DB292" s="7"/>
      <c r="DC292" s="7"/>
      <c r="DD292" s="7"/>
      <c r="DE292" s="7"/>
      <c r="DF292" s="7"/>
      <c r="DG292" s="7"/>
      <c r="DH292" s="7"/>
      <c r="DI292" s="7"/>
      <c r="DJ292" s="7"/>
      <c r="DK292" s="7"/>
      <c r="DL292" s="7"/>
      <c r="DM292" s="7"/>
      <c r="DN292" s="7"/>
      <c r="DO292" s="7"/>
      <c r="DP292" s="7"/>
      <c r="DQ292" s="7"/>
      <c r="DR292" s="7"/>
      <c r="DS292" s="7"/>
      <c r="DT292" s="7"/>
      <c r="DU292" s="7"/>
      <c r="DV292" s="7"/>
      <c r="DW292" s="7"/>
      <c r="DX292" s="7"/>
      <c r="DY292" s="7"/>
      <c r="DZ292" s="7"/>
    </row>
    <row r="293" spans="1:130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7"/>
      <c r="BM293" s="7"/>
      <c r="BN293" s="7"/>
      <c r="BO293" s="7"/>
      <c r="BP293" s="7"/>
      <c r="BQ293" s="7"/>
      <c r="BR293" s="7"/>
      <c r="BS293" s="7"/>
      <c r="BT293" s="7"/>
      <c r="BU293" s="7"/>
      <c r="BV293" s="7"/>
      <c r="BW293" s="7"/>
      <c r="BX293" s="7"/>
      <c r="BY293" s="7"/>
      <c r="BZ293" s="7"/>
      <c r="CA293" s="7"/>
      <c r="CB293" s="7"/>
      <c r="CC293" s="7"/>
      <c r="CD293" s="7"/>
      <c r="CE293" s="7"/>
      <c r="CF293" s="7"/>
      <c r="CG293" s="7"/>
      <c r="CH293" s="7"/>
      <c r="CI293" s="7"/>
      <c r="CJ293" s="7"/>
      <c r="CK293" s="7"/>
      <c r="CL293" s="7"/>
      <c r="CM293" s="7"/>
      <c r="CN293" s="7"/>
      <c r="CO293" s="7"/>
      <c r="CP293" s="7"/>
      <c r="CQ293" s="7"/>
      <c r="CR293" s="7"/>
      <c r="CS293" s="7"/>
      <c r="CT293" s="7"/>
      <c r="CU293" s="7"/>
      <c r="CV293" s="7"/>
      <c r="CW293" s="7"/>
      <c r="CX293" s="7"/>
      <c r="CY293" s="7"/>
      <c r="CZ293" s="7"/>
      <c r="DA293" s="7"/>
      <c r="DB293" s="7"/>
      <c r="DC293" s="7"/>
      <c r="DD293" s="7"/>
      <c r="DE293" s="7"/>
      <c r="DF293" s="7"/>
      <c r="DG293" s="7"/>
      <c r="DH293" s="7"/>
      <c r="DI293" s="7"/>
      <c r="DJ293" s="7"/>
      <c r="DK293" s="7"/>
      <c r="DL293" s="7"/>
      <c r="DM293" s="7"/>
      <c r="DN293" s="7"/>
      <c r="DO293" s="7"/>
      <c r="DP293" s="7"/>
      <c r="DQ293" s="7"/>
      <c r="DR293" s="7"/>
      <c r="DS293" s="7"/>
      <c r="DT293" s="7"/>
      <c r="DU293" s="7"/>
      <c r="DV293" s="7"/>
      <c r="DW293" s="7"/>
      <c r="DX293" s="7"/>
      <c r="DY293" s="7"/>
      <c r="DZ293" s="7"/>
    </row>
    <row r="294" spans="1:130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7"/>
      <c r="BN294" s="7"/>
      <c r="BO294" s="7"/>
      <c r="BP294" s="7"/>
      <c r="BQ294" s="7"/>
      <c r="BR294" s="7"/>
      <c r="BS294" s="7"/>
      <c r="BT294" s="7"/>
      <c r="BU294" s="7"/>
      <c r="BV294" s="7"/>
      <c r="BW294" s="7"/>
      <c r="BX294" s="7"/>
      <c r="BY294" s="7"/>
      <c r="BZ294" s="7"/>
      <c r="CA294" s="7"/>
      <c r="CB294" s="7"/>
      <c r="CC294" s="7"/>
      <c r="CD294" s="7"/>
      <c r="CE294" s="7"/>
      <c r="CF294" s="7"/>
      <c r="CG294" s="7"/>
      <c r="CH294" s="7"/>
      <c r="CI294" s="7"/>
      <c r="CJ294" s="7"/>
      <c r="CK294" s="7"/>
      <c r="CL294" s="7"/>
      <c r="CM294" s="7"/>
      <c r="CN294" s="7"/>
      <c r="CO294" s="7"/>
      <c r="CP294" s="7"/>
      <c r="CQ294" s="7"/>
      <c r="CR294" s="7"/>
      <c r="CS294" s="7"/>
      <c r="CT294" s="7"/>
      <c r="CU294" s="7"/>
      <c r="CV294" s="7"/>
      <c r="CW294" s="7"/>
      <c r="CX294" s="7"/>
      <c r="CY294" s="7"/>
      <c r="CZ294" s="7"/>
      <c r="DA294" s="7"/>
      <c r="DB294" s="7"/>
      <c r="DC294" s="7"/>
      <c r="DD294" s="7"/>
      <c r="DE294" s="7"/>
      <c r="DF294" s="7"/>
      <c r="DG294" s="7"/>
      <c r="DH294" s="7"/>
      <c r="DI294" s="7"/>
      <c r="DJ294" s="7"/>
      <c r="DK294" s="7"/>
      <c r="DL294" s="7"/>
      <c r="DM294" s="7"/>
      <c r="DN294" s="7"/>
      <c r="DO294" s="7"/>
      <c r="DP294" s="7"/>
      <c r="DQ294" s="7"/>
      <c r="DR294" s="7"/>
      <c r="DS294" s="7"/>
      <c r="DT294" s="7"/>
      <c r="DU294" s="7"/>
      <c r="DV294" s="7"/>
      <c r="DW294" s="7"/>
      <c r="DX294" s="7"/>
      <c r="DY294" s="7"/>
      <c r="DZ294" s="7"/>
    </row>
    <row r="295" spans="1:130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7"/>
      <c r="BM295" s="7"/>
      <c r="BN295" s="7"/>
      <c r="BO295" s="7"/>
      <c r="BP295" s="7"/>
      <c r="BQ295" s="7"/>
      <c r="BR295" s="7"/>
      <c r="BS295" s="7"/>
      <c r="BT295" s="7"/>
      <c r="BU295" s="7"/>
      <c r="BV295" s="7"/>
      <c r="BW295" s="7"/>
      <c r="BX295" s="7"/>
      <c r="BY295" s="7"/>
      <c r="BZ295" s="7"/>
      <c r="CA295" s="7"/>
      <c r="CB295" s="7"/>
      <c r="CC295" s="7"/>
      <c r="CD295" s="7"/>
      <c r="CE295" s="7"/>
      <c r="CF295" s="7"/>
      <c r="CG295" s="7"/>
      <c r="CH295" s="7"/>
      <c r="CI295" s="7"/>
      <c r="CJ295" s="7"/>
      <c r="CK295" s="7"/>
      <c r="CL295" s="7"/>
      <c r="CM295" s="7"/>
      <c r="CN295" s="7"/>
      <c r="CO295" s="7"/>
      <c r="CP295" s="7"/>
      <c r="CQ295" s="7"/>
      <c r="CR295" s="7"/>
      <c r="CS295" s="7"/>
      <c r="CT295" s="7"/>
      <c r="CU295" s="7"/>
      <c r="CV295" s="7"/>
      <c r="CW295" s="7"/>
      <c r="CX295" s="7"/>
      <c r="CY295" s="7"/>
      <c r="CZ295" s="7"/>
      <c r="DA295" s="7"/>
      <c r="DB295" s="7"/>
      <c r="DC295" s="7"/>
      <c r="DD295" s="7"/>
      <c r="DE295" s="7"/>
      <c r="DF295" s="7"/>
      <c r="DG295" s="7"/>
      <c r="DH295" s="7"/>
      <c r="DI295" s="7"/>
      <c r="DJ295" s="7"/>
      <c r="DK295" s="7"/>
      <c r="DL295" s="7"/>
      <c r="DM295" s="7"/>
      <c r="DN295" s="7"/>
      <c r="DO295" s="7"/>
      <c r="DP295" s="7"/>
      <c r="DQ295" s="7"/>
      <c r="DR295" s="7"/>
      <c r="DS295" s="7"/>
      <c r="DT295" s="7"/>
      <c r="DU295" s="7"/>
      <c r="DV295" s="7"/>
      <c r="DW295" s="7"/>
      <c r="DX295" s="7"/>
      <c r="DY295" s="7"/>
      <c r="DZ295" s="7"/>
    </row>
    <row r="296" spans="1:130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7"/>
      <c r="BN296" s="7"/>
      <c r="BO296" s="7"/>
      <c r="BP296" s="7"/>
      <c r="BQ296" s="7"/>
      <c r="BR296" s="7"/>
      <c r="BS296" s="7"/>
      <c r="BT296" s="7"/>
      <c r="BU296" s="7"/>
      <c r="BV296" s="7"/>
      <c r="BW296" s="7"/>
      <c r="BX296" s="7"/>
      <c r="BY296" s="7"/>
      <c r="BZ296" s="7"/>
      <c r="CA296" s="7"/>
      <c r="CB296" s="7"/>
      <c r="CC296" s="7"/>
      <c r="CD296" s="7"/>
      <c r="CE296" s="7"/>
      <c r="CF296" s="7"/>
      <c r="CG296" s="7"/>
      <c r="CH296" s="7"/>
      <c r="CI296" s="7"/>
      <c r="CJ296" s="7"/>
      <c r="CK296" s="7"/>
      <c r="CL296" s="7"/>
      <c r="CM296" s="7"/>
      <c r="CN296" s="7"/>
      <c r="CO296" s="7"/>
      <c r="CP296" s="7"/>
      <c r="CQ296" s="7"/>
      <c r="CR296" s="7"/>
      <c r="CS296" s="7"/>
      <c r="CT296" s="7"/>
      <c r="CU296" s="7"/>
      <c r="CV296" s="7"/>
      <c r="CW296" s="7"/>
      <c r="CX296" s="7"/>
      <c r="CY296" s="7"/>
      <c r="CZ296" s="7"/>
      <c r="DA296" s="7"/>
      <c r="DB296" s="7"/>
      <c r="DC296" s="7"/>
      <c r="DD296" s="7"/>
      <c r="DE296" s="7"/>
      <c r="DF296" s="7"/>
      <c r="DG296" s="7"/>
      <c r="DH296" s="7"/>
      <c r="DI296" s="7"/>
      <c r="DJ296" s="7"/>
      <c r="DK296" s="7"/>
      <c r="DL296" s="7"/>
      <c r="DM296" s="7"/>
      <c r="DN296" s="7"/>
      <c r="DO296" s="7"/>
      <c r="DP296" s="7"/>
      <c r="DQ296" s="7"/>
      <c r="DR296" s="7"/>
      <c r="DS296" s="7"/>
      <c r="DT296" s="7"/>
      <c r="DU296" s="7"/>
      <c r="DV296" s="7"/>
      <c r="DW296" s="7"/>
      <c r="DX296" s="7"/>
      <c r="DY296" s="7"/>
      <c r="DZ296" s="7"/>
    </row>
    <row r="297" spans="1:130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7"/>
      <c r="BM297" s="7"/>
      <c r="BN297" s="7"/>
      <c r="BO297" s="7"/>
      <c r="BP297" s="7"/>
      <c r="BQ297" s="7"/>
      <c r="BR297" s="7"/>
      <c r="BS297" s="7"/>
      <c r="BT297" s="7"/>
      <c r="BU297" s="7"/>
      <c r="BV297" s="7"/>
      <c r="BW297" s="7"/>
      <c r="BX297" s="7"/>
      <c r="BY297" s="7"/>
      <c r="BZ297" s="7"/>
      <c r="CA297" s="7"/>
      <c r="CB297" s="7"/>
      <c r="CC297" s="7"/>
      <c r="CD297" s="7"/>
      <c r="CE297" s="7"/>
      <c r="CF297" s="7"/>
      <c r="CG297" s="7"/>
      <c r="CH297" s="7"/>
      <c r="CI297" s="7"/>
      <c r="CJ297" s="7"/>
      <c r="CK297" s="7"/>
      <c r="CL297" s="7"/>
      <c r="CM297" s="7"/>
      <c r="CN297" s="7"/>
      <c r="CO297" s="7"/>
      <c r="CP297" s="7"/>
      <c r="CQ297" s="7"/>
      <c r="CR297" s="7"/>
      <c r="CS297" s="7"/>
      <c r="CT297" s="7"/>
      <c r="CU297" s="7"/>
      <c r="CV297" s="7"/>
      <c r="CW297" s="7"/>
      <c r="CX297" s="7"/>
      <c r="CY297" s="7"/>
      <c r="CZ297" s="7"/>
      <c r="DA297" s="7"/>
      <c r="DB297" s="7"/>
      <c r="DC297" s="7"/>
      <c r="DD297" s="7"/>
      <c r="DE297" s="7"/>
      <c r="DF297" s="7"/>
      <c r="DG297" s="7"/>
      <c r="DH297" s="7"/>
      <c r="DI297" s="7"/>
      <c r="DJ297" s="7"/>
      <c r="DK297" s="7"/>
      <c r="DL297" s="7"/>
      <c r="DM297" s="7"/>
      <c r="DN297" s="7"/>
      <c r="DO297" s="7"/>
      <c r="DP297" s="7"/>
      <c r="DQ297" s="7"/>
      <c r="DR297" s="7"/>
      <c r="DS297" s="7"/>
      <c r="DT297" s="7"/>
      <c r="DU297" s="7"/>
      <c r="DV297" s="7"/>
      <c r="DW297" s="7"/>
      <c r="DX297" s="7"/>
      <c r="DY297" s="7"/>
      <c r="DZ297" s="7"/>
    </row>
    <row r="298" spans="1:130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7"/>
      <c r="BN298" s="7"/>
      <c r="BO298" s="7"/>
      <c r="BP298" s="7"/>
      <c r="BQ298" s="7"/>
      <c r="BR298" s="7"/>
      <c r="BS298" s="7"/>
      <c r="BT298" s="7"/>
      <c r="BU298" s="7"/>
      <c r="BV298" s="7"/>
      <c r="BW298" s="7"/>
      <c r="BX298" s="7"/>
      <c r="BY298" s="7"/>
      <c r="BZ298" s="7"/>
      <c r="CA298" s="7"/>
      <c r="CB298" s="7"/>
      <c r="CC298" s="7"/>
      <c r="CD298" s="7"/>
      <c r="CE298" s="7"/>
      <c r="CF298" s="7"/>
      <c r="CG298" s="7"/>
      <c r="CH298" s="7"/>
      <c r="CI298" s="7"/>
      <c r="CJ298" s="7"/>
      <c r="CK298" s="7"/>
      <c r="CL298" s="7"/>
      <c r="CM298" s="7"/>
      <c r="CN298" s="7"/>
      <c r="CO298" s="7"/>
      <c r="CP298" s="7"/>
      <c r="CQ298" s="7"/>
      <c r="CR298" s="7"/>
      <c r="CS298" s="7"/>
      <c r="CT298" s="7"/>
      <c r="CU298" s="7"/>
      <c r="CV298" s="7"/>
      <c r="CW298" s="7"/>
      <c r="CX298" s="7"/>
      <c r="CY298" s="7"/>
      <c r="CZ298" s="7"/>
      <c r="DA298" s="7"/>
      <c r="DB298" s="7"/>
      <c r="DC298" s="7"/>
      <c r="DD298" s="7"/>
      <c r="DE298" s="7"/>
      <c r="DF298" s="7"/>
      <c r="DG298" s="7"/>
      <c r="DH298" s="7"/>
      <c r="DI298" s="7"/>
      <c r="DJ298" s="7"/>
      <c r="DK298" s="7"/>
      <c r="DL298" s="7"/>
      <c r="DM298" s="7"/>
      <c r="DN298" s="7"/>
      <c r="DO298" s="7"/>
      <c r="DP298" s="7"/>
      <c r="DQ298" s="7"/>
      <c r="DR298" s="7"/>
      <c r="DS298" s="7"/>
      <c r="DT298" s="7"/>
      <c r="DU298" s="7"/>
      <c r="DV298" s="7"/>
      <c r="DW298" s="7"/>
      <c r="DX298" s="7"/>
      <c r="DY298" s="7"/>
      <c r="DZ298" s="7"/>
    </row>
    <row r="299" spans="1:130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7"/>
      <c r="BM299" s="7"/>
      <c r="BN299" s="7"/>
      <c r="BO299" s="7"/>
      <c r="BP299" s="7"/>
      <c r="BQ299" s="7"/>
      <c r="BR299" s="7"/>
      <c r="BS299" s="7"/>
      <c r="BT299" s="7"/>
      <c r="BU299" s="7"/>
      <c r="BV299" s="7"/>
      <c r="BW299" s="7"/>
      <c r="BX299" s="7"/>
      <c r="BY299" s="7"/>
      <c r="BZ299" s="7"/>
      <c r="CA299" s="7"/>
      <c r="CB299" s="7"/>
      <c r="CC299" s="7"/>
      <c r="CD299" s="7"/>
      <c r="CE299" s="7"/>
      <c r="CF299" s="7"/>
      <c r="CG299" s="7"/>
      <c r="CH299" s="7"/>
      <c r="CI299" s="7"/>
      <c r="CJ299" s="7"/>
      <c r="CK299" s="7"/>
      <c r="CL299" s="7"/>
      <c r="CM299" s="7"/>
      <c r="CN299" s="7"/>
      <c r="CO299" s="7"/>
      <c r="CP299" s="7"/>
      <c r="CQ299" s="7"/>
      <c r="CR299" s="7"/>
      <c r="CS299" s="7"/>
      <c r="CT299" s="7"/>
      <c r="CU299" s="7"/>
      <c r="CV299" s="7"/>
      <c r="CW299" s="7"/>
      <c r="CX299" s="7"/>
      <c r="CY299" s="7"/>
      <c r="CZ299" s="7"/>
      <c r="DA299" s="7"/>
      <c r="DB299" s="7"/>
      <c r="DC299" s="7"/>
      <c r="DD299" s="7"/>
      <c r="DE299" s="7"/>
      <c r="DF299" s="7"/>
      <c r="DG299" s="7"/>
      <c r="DH299" s="7"/>
      <c r="DI299" s="7"/>
      <c r="DJ299" s="7"/>
      <c r="DK299" s="7"/>
      <c r="DL299" s="7"/>
      <c r="DM299" s="7"/>
      <c r="DN299" s="7"/>
      <c r="DO299" s="7"/>
      <c r="DP299" s="7"/>
      <c r="DQ299" s="7"/>
      <c r="DR299" s="7"/>
      <c r="DS299" s="7"/>
      <c r="DT299" s="7"/>
      <c r="DU299" s="7"/>
      <c r="DV299" s="7"/>
      <c r="DW299" s="7"/>
      <c r="DX299" s="7"/>
      <c r="DY299" s="7"/>
      <c r="DZ299" s="7"/>
    </row>
    <row r="300" spans="1:13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7"/>
      <c r="BN300" s="7"/>
      <c r="BO300" s="7"/>
      <c r="BP300" s="7"/>
      <c r="BQ300" s="7"/>
      <c r="BR300" s="7"/>
      <c r="BS300" s="7"/>
      <c r="BT300" s="7"/>
      <c r="BU300" s="7"/>
      <c r="BV300" s="7"/>
      <c r="BW300" s="7"/>
      <c r="BX300" s="7"/>
      <c r="BY300" s="7"/>
      <c r="BZ300" s="7"/>
      <c r="CA300" s="7"/>
      <c r="CB300" s="7"/>
      <c r="CC300" s="7"/>
      <c r="CD300" s="7"/>
      <c r="CE300" s="7"/>
      <c r="CF300" s="7"/>
      <c r="CG300" s="7"/>
      <c r="CH300" s="7"/>
      <c r="CI300" s="7"/>
      <c r="CJ300" s="7"/>
      <c r="CK300" s="7"/>
      <c r="CL300" s="7"/>
      <c r="CM300" s="7"/>
      <c r="CN300" s="7"/>
      <c r="CO300" s="7"/>
      <c r="CP300" s="7"/>
      <c r="CQ300" s="7"/>
      <c r="CR300" s="7"/>
      <c r="CS300" s="7"/>
      <c r="CT300" s="7"/>
      <c r="CU300" s="7"/>
      <c r="CV300" s="7"/>
      <c r="CW300" s="7"/>
      <c r="CX300" s="7"/>
      <c r="CY300" s="7"/>
      <c r="CZ300" s="7"/>
      <c r="DA300" s="7"/>
      <c r="DB300" s="7"/>
      <c r="DC300" s="7"/>
      <c r="DD300" s="7"/>
      <c r="DE300" s="7"/>
      <c r="DF300" s="7"/>
      <c r="DG300" s="7"/>
      <c r="DH300" s="7"/>
      <c r="DI300" s="7"/>
      <c r="DJ300" s="7"/>
      <c r="DK300" s="7"/>
      <c r="DL300" s="7"/>
      <c r="DM300" s="7"/>
      <c r="DN300" s="7"/>
      <c r="DO300" s="7"/>
      <c r="DP300" s="7"/>
      <c r="DQ300" s="7"/>
      <c r="DR300" s="7"/>
      <c r="DS300" s="7"/>
      <c r="DT300" s="7"/>
      <c r="DU300" s="7"/>
      <c r="DV300" s="7"/>
      <c r="DW300" s="7"/>
      <c r="DX300" s="7"/>
      <c r="DY300" s="7"/>
      <c r="DZ300" s="7"/>
    </row>
  </sheetData>
  <conditionalFormatting sqref="A2:CX5">
    <cfRule type="expression" dxfId="19" priority="21">
      <formula>($E2 &lt; 0)</formula>
    </cfRule>
    <cfRule type="expression" dxfId="18" priority="20">
      <formula>((LEN($L2)-LEN(SUBSTITUTE($L2,".","")))=0)</formula>
    </cfRule>
    <cfRule type="expression" dxfId="17" priority="19">
      <formula>((LEN($L2)-LEN(SUBSTITUTE($L2,".","")))=1)</formula>
    </cfRule>
    <cfRule type="expression" dxfId="16" priority="18">
      <formula>((LEN($L2)-LEN(SUBSTITUTE($L2,".","")))=2)</formula>
    </cfRule>
    <cfRule type="expression" dxfId="15" priority="17">
      <formula>((LEN($L2)-LEN(SUBSTITUTE($L2,".","")))=0)</formula>
    </cfRule>
    <cfRule type="expression" dxfId="14" priority="16">
      <formula>((LEN($L2)-LEN(SUBSTITUTE($L2,".","")))=1)</formula>
    </cfRule>
    <cfRule type="expression" dxfId="13" priority="15">
      <formula>((LEN($L2)-LEN(SUBSTITUTE($L2,".","")))=0)</formula>
    </cfRule>
    <cfRule type="expression" dxfId="12" priority="14">
      <formula>($E2 &lt; 0)</formula>
    </cfRule>
    <cfRule type="expression" dxfId="11" priority="13">
      <formula>(($V9)="d) Bem")</formula>
    </cfRule>
    <cfRule type="expression" dxfId="10" priority="12">
      <formula>($C2 = -2)</formula>
    </cfRule>
  </conditionalFormatting>
  <conditionalFormatting sqref="A9:CX166">
    <cfRule type="expression" dxfId="9" priority="11">
      <formula>($E9 &lt; 0)</formula>
    </cfRule>
    <cfRule type="expression" dxfId="8" priority="10">
      <formula>((LEN($L9)-LEN(SUBSTITUTE($L9,".","")))=0)</formula>
    </cfRule>
    <cfRule type="expression" dxfId="7" priority="9">
      <formula>((LEN($L9)-LEN(SUBSTITUTE($L9,".","")))=1)</formula>
    </cfRule>
    <cfRule type="expression" dxfId="6" priority="8">
      <formula>((LEN($L9)-LEN(SUBSTITUTE($L9,".","")))=2)</formula>
    </cfRule>
    <cfRule type="expression" dxfId="5" priority="7">
      <formula>((LEN($L9)-LEN(SUBSTITUTE($L9,".","")))=0)</formula>
    </cfRule>
    <cfRule type="expression" dxfId="4" priority="6">
      <formula>((LEN($L9)-LEN(SUBSTITUTE($L9,".","")))=1)</formula>
    </cfRule>
    <cfRule type="expression" dxfId="3" priority="5">
      <formula>((LEN($L9)-LEN(SUBSTITUTE($L9,".","")))=0)</formula>
    </cfRule>
    <cfRule type="expression" dxfId="2" priority="4">
      <formula>($E9 &lt; 0)</formula>
    </cfRule>
    <cfRule type="expression" dxfId="1" priority="3">
      <formula>(($V9)="d) Bem")</formula>
    </cfRule>
    <cfRule type="expression" dxfId="0" priority="2">
      <formula>($C9 = -2)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Sintesi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 Sacchini</cp:lastModifiedBy>
  <dcterms:modified xsi:type="dcterms:W3CDTF">2024-07-10T15:18:50Z</dcterms:modified>
</cp:coreProperties>
</file>